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se\Documents\"/>
    </mc:Choice>
  </mc:AlternateContent>
  <xr:revisionPtr revIDLastSave="0" documentId="8_{25BCAB49-1F97-4BF9-9867-EE05D492BDBA}" xr6:coauthVersionLast="47" xr6:coauthVersionMax="47" xr10:uidLastSave="{00000000-0000-0000-0000-000000000000}"/>
  <bookViews>
    <workbookView xWindow="-110" yWindow="-110" windowWidth="19420" windowHeight="10300" xr2:uid="{1C1503C4-FC88-4CA2-A1EC-A6DB06EE7C47}"/>
  </bookViews>
  <sheets>
    <sheet name="FCT" sheetId="1" r:id="rId1"/>
  </sheets>
  <definedNames>
    <definedName name="_xlnm._FilterDatabase" localSheetId="0" hidden="1">FCT!$A$1:$AP$88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10" i="1" l="1"/>
  <c r="L110" i="1"/>
  <c r="A110" i="1"/>
  <c r="X109" i="1"/>
  <c r="L109" i="1"/>
  <c r="A109" i="1"/>
  <c r="X108" i="1"/>
  <c r="L108" i="1"/>
  <c r="A108" i="1"/>
  <c r="X107" i="1"/>
  <c r="L107" i="1"/>
  <c r="A107" i="1"/>
  <c r="X106" i="1"/>
  <c r="L106" i="1"/>
  <c r="A106" i="1"/>
  <c r="X105" i="1"/>
  <c r="L105" i="1"/>
  <c r="A105" i="1"/>
  <c r="X104" i="1"/>
  <c r="L104" i="1"/>
  <c r="A104" i="1"/>
  <c r="X103" i="1"/>
  <c r="L103" i="1"/>
  <c r="A103" i="1"/>
  <c r="X102" i="1"/>
  <c r="L102" i="1"/>
  <c r="A102" i="1"/>
  <c r="X101" i="1"/>
  <c r="L101" i="1"/>
  <c r="A101" i="1"/>
  <c r="X100" i="1"/>
  <c r="L100" i="1"/>
  <c r="A100" i="1"/>
  <c r="X99" i="1"/>
  <c r="L99" i="1"/>
  <c r="A99" i="1"/>
  <c r="X98" i="1"/>
  <c r="L98" i="1"/>
  <c r="A98" i="1"/>
  <c r="X97" i="1"/>
  <c r="L97" i="1"/>
  <c r="A97" i="1"/>
  <c r="X96" i="1"/>
  <c r="L96" i="1"/>
  <c r="A96" i="1"/>
  <c r="X95" i="1"/>
  <c r="L95" i="1"/>
  <c r="A95" i="1"/>
  <c r="X94" i="1"/>
  <c r="L94" i="1"/>
  <c r="A94" i="1"/>
  <c r="X93" i="1"/>
  <c r="L93" i="1"/>
  <c r="A93" i="1"/>
  <c r="X92" i="1"/>
  <c r="L92" i="1"/>
  <c r="A92" i="1"/>
  <c r="X91" i="1"/>
  <c r="A91" i="1"/>
  <c r="A90" i="1"/>
  <c r="A89" i="1"/>
  <c r="X88" i="1"/>
  <c r="L88" i="1"/>
  <c r="A88" i="1"/>
  <c r="X87" i="1"/>
  <c r="L87" i="1"/>
  <c r="A87" i="1"/>
  <c r="X86" i="1"/>
  <c r="L86" i="1"/>
  <c r="A86" i="1"/>
  <c r="X85" i="1"/>
  <c r="L85" i="1"/>
  <c r="A85" i="1"/>
  <c r="X84" i="1"/>
  <c r="L84" i="1"/>
  <c r="A84" i="1"/>
  <c r="X83" i="1"/>
  <c r="L83" i="1"/>
  <c r="A83" i="1"/>
  <c r="X82" i="1"/>
  <c r="L82" i="1"/>
  <c r="A82" i="1"/>
  <c r="X81" i="1"/>
  <c r="L81" i="1"/>
  <c r="A81" i="1"/>
  <c r="X80" i="1"/>
  <c r="L80" i="1"/>
  <c r="A80" i="1"/>
  <c r="X79" i="1"/>
  <c r="L79" i="1"/>
  <c r="A79" i="1"/>
  <c r="X78" i="1"/>
  <c r="L78" i="1"/>
  <c r="A78" i="1"/>
  <c r="X77" i="1"/>
  <c r="L77" i="1"/>
  <c r="A77" i="1"/>
  <c r="X76" i="1"/>
  <c r="L76" i="1"/>
  <c r="A76" i="1"/>
  <c r="X75" i="1"/>
  <c r="L75" i="1"/>
  <c r="A75" i="1"/>
  <c r="X74" i="1"/>
  <c r="L74" i="1"/>
  <c r="A74" i="1"/>
  <c r="X73" i="1"/>
  <c r="L73" i="1"/>
  <c r="A73" i="1"/>
  <c r="X72" i="1"/>
  <c r="L72" i="1"/>
  <c r="A72" i="1"/>
  <c r="X71" i="1"/>
  <c r="L71" i="1"/>
  <c r="A71" i="1"/>
  <c r="X70" i="1"/>
  <c r="L70" i="1"/>
  <c r="A70" i="1"/>
  <c r="X69" i="1"/>
  <c r="L69" i="1"/>
  <c r="A69" i="1"/>
  <c r="X68" i="1"/>
  <c r="L68" i="1"/>
  <c r="A68" i="1"/>
  <c r="X67" i="1"/>
  <c r="L67" i="1"/>
  <c r="A67" i="1"/>
  <c r="X66" i="1"/>
  <c r="L66" i="1"/>
  <c r="A66" i="1"/>
  <c r="X65" i="1"/>
  <c r="L65" i="1"/>
  <c r="A65" i="1"/>
  <c r="X64" i="1"/>
  <c r="L64" i="1"/>
  <c r="A64" i="1"/>
  <c r="X63" i="1"/>
  <c r="L63" i="1"/>
  <c r="A63" i="1"/>
  <c r="X62" i="1"/>
  <c r="L62" i="1"/>
  <c r="A62" i="1"/>
  <c r="X61" i="1"/>
  <c r="L61" i="1"/>
  <c r="A61" i="1"/>
  <c r="X60" i="1"/>
  <c r="L60" i="1"/>
  <c r="A60" i="1"/>
  <c r="X59" i="1"/>
  <c r="L59" i="1"/>
  <c r="A59" i="1"/>
  <c r="X58" i="1"/>
  <c r="L58" i="1"/>
  <c r="A58" i="1"/>
  <c r="X57" i="1"/>
  <c r="L57" i="1"/>
  <c r="A57" i="1"/>
  <c r="X56" i="1"/>
  <c r="L56" i="1"/>
  <c r="A56" i="1"/>
  <c r="X55" i="1"/>
  <c r="L55" i="1"/>
  <c r="A55" i="1"/>
  <c r="X54" i="1"/>
  <c r="L54" i="1"/>
  <c r="A54" i="1"/>
  <c r="X53" i="1"/>
  <c r="L53" i="1"/>
  <c r="A53" i="1"/>
  <c r="X52" i="1"/>
  <c r="L52" i="1"/>
  <c r="A52" i="1"/>
  <c r="X51" i="1"/>
  <c r="L51" i="1"/>
  <c r="A51" i="1"/>
  <c r="X50" i="1"/>
  <c r="L50" i="1"/>
  <c r="A50" i="1"/>
  <c r="X49" i="1"/>
  <c r="L49" i="1"/>
  <c r="A49" i="1"/>
  <c r="X48" i="1"/>
  <c r="L48" i="1"/>
  <c r="A48" i="1"/>
  <c r="X47" i="1"/>
  <c r="L47" i="1"/>
  <c r="A47" i="1"/>
  <c r="X46" i="1"/>
  <c r="L46" i="1"/>
  <c r="A46" i="1"/>
  <c r="X45" i="1"/>
  <c r="L45" i="1"/>
  <c r="A45" i="1"/>
  <c r="X44" i="1"/>
  <c r="L44" i="1"/>
  <c r="A44" i="1"/>
  <c r="X43" i="1"/>
  <c r="L43" i="1"/>
  <c r="A43" i="1"/>
  <c r="X42" i="1"/>
  <c r="L42" i="1"/>
  <c r="A42" i="1"/>
  <c r="X41" i="1"/>
  <c r="L41" i="1"/>
  <c r="A41" i="1"/>
  <c r="X40" i="1"/>
  <c r="L40" i="1"/>
  <c r="A40" i="1"/>
  <c r="X39" i="1"/>
  <c r="L39" i="1"/>
  <c r="A39" i="1"/>
  <c r="X38" i="1"/>
  <c r="L38" i="1"/>
  <c r="A38" i="1"/>
  <c r="X37" i="1"/>
  <c r="L37" i="1"/>
  <c r="A37" i="1"/>
  <c r="X36" i="1"/>
  <c r="L36" i="1"/>
  <c r="A36" i="1"/>
  <c r="X35" i="1"/>
  <c r="L35" i="1"/>
  <c r="A35" i="1"/>
  <c r="X34" i="1"/>
  <c r="L34" i="1"/>
  <c r="A34" i="1"/>
  <c r="X33" i="1"/>
  <c r="L33" i="1"/>
  <c r="A33" i="1"/>
  <c r="X32" i="1"/>
  <c r="L32" i="1"/>
  <c r="A32" i="1"/>
  <c r="X31" i="1"/>
  <c r="L31" i="1"/>
  <c r="A31" i="1"/>
  <c r="X30" i="1"/>
  <c r="L30" i="1"/>
  <c r="A30" i="1"/>
  <c r="X29" i="1"/>
  <c r="L29" i="1"/>
  <c r="A29" i="1"/>
  <c r="X28" i="1"/>
  <c r="L28" i="1"/>
  <c r="A28" i="1"/>
  <c r="X27" i="1"/>
  <c r="L27" i="1"/>
  <c r="A27" i="1"/>
  <c r="X26" i="1"/>
  <c r="L26" i="1"/>
  <c r="A26" i="1"/>
  <c r="X25" i="1"/>
  <c r="L25" i="1"/>
  <c r="A25" i="1"/>
  <c r="X24" i="1"/>
  <c r="L24" i="1"/>
  <c r="A24" i="1"/>
  <c r="X23" i="1"/>
  <c r="L23" i="1"/>
  <c r="A23" i="1"/>
  <c r="X22" i="1"/>
  <c r="L22" i="1"/>
  <c r="A22" i="1"/>
  <c r="X21" i="1"/>
  <c r="L21" i="1"/>
  <c r="A21" i="1"/>
  <c r="X20" i="1"/>
  <c r="L20" i="1"/>
  <c r="A20" i="1"/>
  <c r="X19" i="1"/>
  <c r="L19" i="1"/>
  <c r="A19" i="1"/>
  <c r="X18" i="1"/>
  <c r="L18" i="1"/>
  <c r="A18" i="1"/>
  <c r="X17" i="1"/>
  <c r="L17" i="1"/>
  <c r="A17" i="1"/>
  <c r="X16" i="1"/>
  <c r="L16" i="1"/>
  <c r="A16" i="1"/>
  <c r="X15" i="1"/>
  <c r="L15" i="1"/>
  <c r="A15" i="1"/>
  <c r="X14" i="1"/>
  <c r="L14" i="1"/>
  <c r="A14" i="1"/>
  <c r="X13" i="1"/>
  <c r="L13" i="1"/>
  <c r="A13" i="1"/>
  <c r="X12" i="1"/>
  <c r="L12" i="1"/>
  <c r="A12" i="1"/>
  <c r="X11" i="1"/>
  <c r="L11" i="1"/>
  <c r="A11" i="1"/>
  <c r="X10" i="1"/>
  <c r="L10" i="1"/>
  <c r="A10" i="1"/>
  <c r="X9" i="1"/>
  <c r="L9" i="1"/>
  <c r="A9" i="1"/>
  <c r="X8" i="1"/>
  <c r="L8" i="1"/>
  <c r="A8" i="1"/>
  <c r="X7" i="1"/>
  <c r="L7" i="1"/>
  <c r="A7" i="1"/>
  <c r="X6" i="1"/>
  <c r="L6" i="1"/>
  <c r="A6" i="1"/>
  <c r="X5" i="1"/>
  <c r="L5" i="1"/>
  <c r="A5" i="1"/>
  <c r="X4" i="1"/>
  <c r="L4" i="1"/>
  <c r="A4" i="1"/>
  <c r="X3" i="1"/>
  <c r="L3" i="1"/>
  <c r="A3" i="1"/>
  <c r="X2" i="1"/>
  <c r="L2" i="1"/>
  <c r="A2" i="1"/>
</calcChain>
</file>

<file path=xl/sharedStrings.xml><?xml version="1.0" encoding="utf-8"?>
<sst xmlns="http://schemas.openxmlformats.org/spreadsheetml/2006/main" count="3924" uniqueCount="1830">
  <si>
    <t>S.No</t>
  </si>
  <si>
    <t>Status</t>
  </si>
  <si>
    <t>Name</t>
  </si>
  <si>
    <t>First Name</t>
  </si>
  <si>
    <t>Last Name</t>
  </si>
  <si>
    <t>Designation</t>
  </si>
  <si>
    <t>Department</t>
  </si>
  <si>
    <t>HOD</t>
  </si>
  <si>
    <t>Tenure</t>
  </si>
  <si>
    <t>Actual DOJ</t>
  </si>
  <si>
    <t>Position Type</t>
  </si>
  <si>
    <t>Replacement</t>
  </si>
  <si>
    <t>Father Name</t>
  </si>
  <si>
    <t>Location</t>
  </si>
  <si>
    <t>Gender</t>
  </si>
  <si>
    <t>Age</t>
  </si>
  <si>
    <t>PAN</t>
  </si>
  <si>
    <t>UAN</t>
  </si>
  <si>
    <t>Marital Status</t>
  </si>
  <si>
    <t>Specialization</t>
  </si>
  <si>
    <t>Blood Group</t>
  </si>
  <si>
    <t>Permanent Address</t>
  </si>
  <si>
    <t>ENTITY</t>
  </si>
  <si>
    <t>Active</t>
  </si>
  <si>
    <t>FCT/EMP/001</t>
  </si>
  <si>
    <t>Karandeep Singh</t>
  </si>
  <si>
    <t>Karandeep</t>
  </si>
  <si>
    <t>Singh</t>
  </si>
  <si>
    <t>MD &amp; CEO</t>
  </si>
  <si>
    <t>Leadership</t>
  </si>
  <si>
    <t>NA</t>
  </si>
  <si>
    <t>-</t>
  </si>
  <si>
    <t>Permanent</t>
  </si>
  <si>
    <t>Not done</t>
  </si>
  <si>
    <t>Late Surinder Singh</t>
  </si>
  <si>
    <t>Gurgaon</t>
  </si>
  <si>
    <t>Male</t>
  </si>
  <si>
    <t>9711119475</t>
  </si>
  <si>
    <t>5422 2299 5042</t>
  </si>
  <si>
    <t>AKQPS2114K</t>
  </si>
  <si>
    <t>No</t>
  </si>
  <si>
    <t>Married</t>
  </si>
  <si>
    <t>8th Dec</t>
  </si>
  <si>
    <t>M.Sc.</t>
  </si>
  <si>
    <t>Defence Studies</t>
  </si>
  <si>
    <t>SBIN0004449</t>
  </si>
  <si>
    <t>C2/1602 PARSVNATH EXOTICA
GOLF COURSE ROAD
ADJACENT TO HOTEL IBIS
SECTOR 53
Wazirabad(75)
Gurgaon Haryana - 122003</t>
  </si>
  <si>
    <t>FCTEnergy</t>
  </si>
  <si>
    <t>FCT/EMP/006</t>
  </si>
  <si>
    <t>Deepak</t>
  </si>
  <si>
    <t>Manager – Jenny &amp; Emily</t>
  </si>
  <si>
    <t>Tech Support</t>
  </si>
  <si>
    <t>Advitiya Kathuria</t>
  </si>
  <si>
    <t>Vikas Gaur</t>
  </si>
  <si>
    <t>New Position</t>
  </si>
  <si>
    <t>Ramesh Chander</t>
  </si>
  <si>
    <t>deepakranga89@gmail.com</t>
  </si>
  <si>
    <t>6628 4087 4085</t>
  </si>
  <si>
    <t>EJCPD2959C</t>
  </si>
  <si>
    <t>B.Tech</t>
  </si>
  <si>
    <t>Electrical Engineering</t>
  </si>
  <si>
    <t>50100618462422</t>
  </si>
  <si>
    <t>HDFC0000572</t>
  </si>
  <si>
    <t>O+</t>
  </si>
  <si>
    <t xml:space="preserve">Luxman Vihar Phase 3, Plot Number -1345/31 Gurugram (H R) </t>
  </si>
  <si>
    <t xml:space="preserve">Deepak S/O Ramesh Chander V.P.O Ahirka Tehsil &amp; District Jind Haryana Pin Code 126102 </t>
  </si>
  <si>
    <t>9990876444</t>
  </si>
  <si>
    <t>Mandeep Singh</t>
  </si>
  <si>
    <t>Brother</t>
  </si>
  <si>
    <t>FCT/EMP/007</t>
  </si>
  <si>
    <t>Ranveer Kumar</t>
  </si>
  <si>
    <t>Ranveer</t>
  </si>
  <si>
    <t>Kumar</t>
  </si>
  <si>
    <t>Senior Manager-Solution Design</t>
  </si>
  <si>
    <t>Solution Design</t>
  </si>
  <si>
    <t>Biju Balakrishnan</t>
  </si>
  <si>
    <t>Arun Kumar</t>
  </si>
  <si>
    <t>ranveer.kmr@gmail.com</t>
  </si>
  <si>
    <t>3573 2340 0913</t>
  </si>
  <si>
    <t>AYWPK7447D</t>
  </si>
  <si>
    <t>Yes</t>
  </si>
  <si>
    <t xml:space="preserve">B.Tech </t>
  </si>
  <si>
    <t>Electronics &amp; Communication</t>
  </si>
  <si>
    <t>661401500525</t>
  </si>
  <si>
    <t>ICIC0006614</t>
  </si>
  <si>
    <t>B+</t>
  </si>
  <si>
    <t>F-101, Dwarka Greens, Sector-14, Pocket 5, Dwarka - 110078</t>
  </si>
  <si>
    <t>F-101, Dwarka Greens, Sector 14, Dwarka, Delhi</t>
  </si>
  <si>
    <t>9654494939</t>
  </si>
  <si>
    <t>Shalini kumari</t>
  </si>
  <si>
    <t xml:space="preserve">Spouse </t>
  </si>
  <si>
    <t>FCT/EMP/009</t>
  </si>
  <si>
    <t>Ashish Bansal</t>
  </si>
  <si>
    <t>Ashish</t>
  </si>
  <si>
    <t>Bansal</t>
  </si>
  <si>
    <t>Manager-Accounts &amp; Finance</t>
  </si>
  <si>
    <t>Finance</t>
  </si>
  <si>
    <t>Vinu Saini</t>
  </si>
  <si>
    <t>Ravinder Gupta</t>
  </si>
  <si>
    <t>Ashishbansal8382@gmail.com</t>
  </si>
  <si>
    <t>8607208382</t>
  </si>
  <si>
    <t>2096 4199 0636</t>
  </si>
  <si>
    <t>CIPPB5741Q</t>
  </si>
  <si>
    <t>CA</t>
  </si>
  <si>
    <t>'007091800006682</t>
  </si>
  <si>
    <t>YESB0000070</t>
  </si>
  <si>
    <t>A+</t>
  </si>
  <si>
    <t>PLOT 4705A, FLAT 205, SECTOR 23A, GURGAON- 122017</t>
  </si>
  <si>
    <t>H.no 646, jundla gate, Karnal 132001</t>
  </si>
  <si>
    <t>7206581599</t>
  </si>
  <si>
    <t>Palak Goel</t>
  </si>
  <si>
    <t>Consultancy</t>
  </si>
  <si>
    <t>FCT/EMP/012</t>
  </si>
  <si>
    <t>Eric Lalhriatzuala</t>
  </si>
  <si>
    <t>Eric</t>
  </si>
  <si>
    <t>Lalhriatzuala</t>
  </si>
  <si>
    <t>Manager (Mizoram Operations)</t>
  </si>
  <si>
    <t>Ops (Field Tech Support)</t>
  </si>
  <si>
    <t>Chawnghluna</t>
  </si>
  <si>
    <t>Aizwal</t>
  </si>
  <si>
    <t>eriquehz@gmail.com</t>
  </si>
  <si>
    <t>7689 7466 0164</t>
  </si>
  <si>
    <t>ASUPL9038M</t>
  </si>
  <si>
    <t>Unmarried</t>
  </si>
  <si>
    <t>MA</t>
  </si>
  <si>
    <t>Public Administration</t>
  </si>
  <si>
    <t>SBIN0004809</t>
  </si>
  <si>
    <t>CR-34, College Road, Bethlehem Vengthlang, Aizawl, Mizoram pin-796008</t>
  </si>
  <si>
    <t>Cr-34, College Road, Bethlehem Vengthlang, Aizawl, Mizoram 796008</t>
  </si>
  <si>
    <t>7005640852</t>
  </si>
  <si>
    <t>Stephen Lalmawipuia</t>
  </si>
  <si>
    <t>FCT/EMP/014</t>
  </si>
  <si>
    <t>Vanlalsanga</t>
  </si>
  <si>
    <t>Senior Engineer-Fuel Cell Projects</t>
  </si>
  <si>
    <t>C.Lalpekliana</t>
  </si>
  <si>
    <t>sangteachawngthu1993@gmail.com</t>
  </si>
  <si>
    <t>3375 7758 9186</t>
  </si>
  <si>
    <t>BFZPV1678G</t>
  </si>
  <si>
    <t>12th</t>
  </si>
  <si>
    <t>SBIN0013054</t>
  </si>
  <si>
    <t>Vanlalsanga
South Kanan, 
H.No - SK (A)  2/1
Near Baptist Church of Mizoram,
Aizawl,Mizoram
PO - Vaivakawn, Pin - 796009
Ph : 8575178864</t>
  </si>
  <si>
    <t>Sumsuih , 796190</t>
  </si>
  <si>
    <t>9612357910</t>
  </si>
  <si>
    <t xml:space="preserve">Mimi Zothanmawii </t>
  </si>
  <si>
    <t>FCT/EMP/075A</t>
  </si>
  <si>
    <t>Takhe Sira</t>
  </si>
  <si>
    <t>Takhe</t>
  </si>
  <si>
    <t>Sira</t>
  </si>
  <si>
    <t>Project Coordinator</t>
  </si>
  <si>
    <t>Project Management</t>
  </si>
  <si>
    <t>Ravi Kant Vadlamani</t>
  </si>
  <si>
    <t>Jitul Hazarika</t>
  </si>
  <si>
    <t>Takhe Borji</t>
  </si>
  <si>
    <t>Itanagar</t>
  </si>
  <si>
    <t>takhesira62@gmail.com</t>
  </si>
  <si>
    <t>8185 7209 2522</t>
  </si>
  <si>
    <t>ECGPS6801B</t>
  </si>
  <si>
    <t>Not provided</t>
  </si>
  <si>
    <t>Mechanical Engineering</t>
  </si>
  <si>
    <t>50100631689011</t>
  </si>
  <si>
    <t>HDFC0001643</t>
  </si>
  <si>
    <t>AB+</t>
  </si>
  <si>
    <t>TAKHE APARTMENT,
NEAR PENTECOST,
ITANAGAR, ARUNACHAL PRADESH-791111</t>
  </si>
  <si>
    <t>S/O. LATE TAKHE BORJI, MEDICAL COLONY, VILLAGE_HONG-I, ZIRO, LOWER SUBANSIRI, PIN CODE-791120, ARUNACHAL PRADESH</t>
  </si>
  <si>
    <t>Tak Moyong</t>
  </si>
  <si>
    <t>FCT/EMP/021</t>
  </si>
  <si>
    <t>Gourav Singla</t>
  </si>
  <si>
    <t>Gourav</t>
  </si>
  <si>
    <t>Singla</t>
  </si>
  <si>
    <t>Senior Manager – Procurement &amp; Project Management</t>
  </si>
  <si>
    <t>Project Management &amp; Procurement</t>
  </si>
  <si>
    <t>Ravi Kant Vadlamani &amp; Saurabh Nehra</t>
  </si>
  <si>
    <t>Ishwar Singla</t>
  </si>
  <si>
    <t>singla.gourav13@gmail.com</t>
  </si>
  <si>
    <t>9759 4548 1249</t>
  </si>
  <si>
    <t>DIZPS7323J</t>
  </si>
  <si>
    <t>50100620199848</t>
  </si>
  <si>
    <t>HDFC0000622</t>
  </si>
  <si>
    <t>I-780, SECOND FLOOR, PALAM VIHAR, SECTOR-1, GURUGRAM-122017</t>
  </si>
  <si>
    <t>R-63, MODEL TOWN, NARWANA, DISTT.- JIND, HARYANA-126116, INDIA</t>
  </si>
  <si>
    <t>9416131591</t>
  </si>
  <si>
    <t>Father</t>
  </si>
  <si>
    <t>FCT/EMP/022</t>
  </si>
  <si>
    <t>Vikas</t>
  </si>
  <si>
    <t>Gaur</t>
  </si>
  <si>
    <t>Deputy General Manager - IT &amp; Support</t>
  </si>
  <si>
    <t>IT &amp;  Ops</t>
  </si>
  <si>
    <t>Pooran Chandra Gaur</t>
  </si>
  <si>
    <t>vikasgaur79@yahoo.co.in</t>
  </si>
  <si>
    <t>9891077448</t>
  </si>
  <si>
    <t>5544 8993 8797</t>
  </si>
  <si>
    <t>AGQPG9543G</t>
  </si>
  <si>
    <t xml:space="preserve">Diploma  </t>
  </si>
  <si>
    <t>Computer Engineering</t>
  </si>
  <si>
    <t>32964010856</t>
  </si>
  <si>
    <t>SBIN0016108</t>
  </si>
  <si>
    <t>House - 14, Block -6, First Floor, Spring Field Colony, Sector 31, Faridabad - 121003, Haryana</t>
  </si>
  <si>
    <t>Block - 6, House - 14, FF, Spring Field Colony, Sector 31, Faridabad- 121003 (Haryana)</t>
  </si>
  <si>
    <t>9810987745</t>
  </si>
  <si>
    <t>Komal Gaur</t>
  </si>
  <si>
    <t>FCT/EMP/023</t>
  </si>
  <si>
    <t>Prabhat Kumar</t>
  </si>
  <si>
    <t>Prabhat</t>
  </si>
  <si>
    <t>Manager - EFOY Series</t>
  </si>
  <si>
    <t>Syed Shajidul Haque</t>
  </si>
  <si>
    <t>Girish Kumar Patel</t>
  </si>
  <si>
    <t>Harishchandra Chaudhary</t>
  </si>
  <si>
    <t>prabhatkmr225@gmail.com</t>
  </si>
  <si>
    <t>6223 7382 3751</t>
  </si>
  <si>
    <t>DBVPK0862D</t>
  </si>
  <si>
    <t xml:space="preserve">Diploma </t>
  </si>
  <si>
    <t>50100618463451</t>
  </si>
  <si>
    <t>Kapashera, New Delhi 110037</t>
  </si>
  <si>
    <t>Vill+Po - Bedauliya, P.S- Jandaha, Dist-Vaishali, Bihar, 844505</t>
  </si>
  <si>
    <t>9973531402</t>
  </si>
  <si>
    <t xml:space="preserve">Khushbu Devi </t>
  </si>
  <si>
    <t>FCT/EMP/035</t>
  </si>
  <si>
    <t>Amlesh Sah</t>
  </si>
  <si>
    <t>Amlesh</t>
  </si>
  <si>
    <t>Sah</t>
  </si>
  <si>
    <t>Manager – Trials &amp; Other Regions</t>
  </si>
  <si>
    <t>Janardan Sah</t>
  </si>
  <si>
    <t>amlesh87@gmail.com</t>
  </si>
  <si>
    <t>9556 8653 7756</t>
  </si>
  <si>
    <t>DASPS0532L</t>
  </si>
  <si>
    <t>BA / Diploma</t>
  </si>
  <si>
    <t>50100618463056</t>
  </si>
  <si>
    <t>C-165Ambedker Place Baprola Vihar, Balgopal School, Najafgarh, Bapraula,West Delhi,Delhi, 110043</t>
  </si>
  <si>
    <t>S/O Janardan Shah, c-165Ambedker Place Baprola Vihar, Balgopal School, Najafgarh, Bapraula,West Delhi,Delhi, 110043</t>
  </si>
  <si>
    <t>8585908082</t>
  </si>
  <si>
    <t xml:space="preserve">Pratima </t>
  </si>
  <si>
    <t>FCT/EMP/036</t>
  </si>
  <si>
    <t>Roshan Thapa</t>
  </si>
  <si>
    <t>Roshan</t>
  </si>
  <si>
    <t>Thapa</t>
  </si>
  <si>
    <t>Assistant Manager - West Bengal, Sikkim and Training Operations</t>
  </si>
  <si>
    <t>Late Ratna Bahadur Thapa</t>
  </si>
  <si>
    <t>Kalimpong</t>
  </si>
  <si>
    <t>troshan946@gmail.com</t>
  </si>
  <si>
    <t>6973 9524 5744</t>
  </si>
  <si>
    <t>AELPT3205P</t>
  </si>
  <si>
    <t>30944452757</t>
  </si>
  <si>
    <t>SBIN0013117</t>
  </si>
  <si>
    <t>WASHABARI TEA GARDEN PO BAGRAKOT DIST JALPAIGURI  PIN 734501 WEST BENGAL</t>
  </si>
  <si>
    <t>Washabari Tea Garden ,PO - Bagrakot , Dist- Jalpaiguri ,734501 ,WB</t>
  </si>
  <si>
    <t>9547085485</t>
  </si>
  <si>
    <t>Pabi Sunwar Thapa</t>
  </si>
  <si>
    <t>FCT/EMP/038</t>
  </si>
  <si>
    <t>Swadhin Chowdhury</t>
  </si>
  <si>
    <t>Swadhin</t>
  </si>
  <si>
    <t>Chowdhury</t>
  </si>
  <si>
    <t>Senior Engineer</t>
  </si>
  <si>
    <t>Mangstabam Romenkumar</t>
  </si>
  <si>
    <t>Ananda Chowdhury</t>
  </si>
  <si>
    <t>Rangia</t>
  </si>
  <si>
    <t>chowdhuryswadhin1996@gmail.com</t>
  </si>
  <si>
    <t>4002 3075 2296</t>
  </si>
  <si>
    <t>BFNPC1001G</t>
  </si>
  <si>
    <t>50100598433480</t>
  </si>
  <si>
    <t>HDFCO004811</t>
  </si>
  <si>
    <t>Rangia Repair Center, C/O- Shantiram Lahakar, Lahakar Rent House, 2nd Floor, Ward No-01, Near Rangia Railway Station, Kamrup, Assam-781365</t>
  </si>
  <si>
    <t>Chandabila Garhbeta-1 Paschim Medinipur West Bengal 721127</t>
  </si>
  <si>
    <t>7063017655</t>
  </si>
  <si>
    <t>Sumana Maji</t>
  </si>
  <si>
    <t>Wife</t>
  </si>
  <si>
    <t>FCT/EMP/074</t>
  </si>
  <si>
    <t>Mangstabam</t>
  </si>
  <si>
    <t>Romenkumar</t>
  </si>
  <si>
    <t>Senior Manager – Support &amp; Maintenance (Eastern Operations)</t>
  </si>
  <si>
    <t>Mangsatabam Kanglenjao Singh</t>
  </si>
  <si>
    <t>romenkmr@gmail.com</t>
  </si>
  <si>
    <t>7670 1882 8711</t>
  </si>
  <si>
    <t>AVAPR9273K</t>
  </si>
  <si>
    <t>2775000100017781</t>
  </si>
  <si>
    <t>PUNB0277500</t>
  </si>
  <si>
    <t>KONGPAL KSHETRI LEIKAI, NEAR POROMPAT WATER SUPPLY,
IMPHAL EAST, POROMPAT-795005
MANIPUR</t>
  </si>
  <si>
    <t>KONGPAL KSHETRI LEIKAI, POROMPAT, IMPHAL EAST, MANIPUR-795005</t>
  </si>
  <si>
    <t>8787305478</t>
  </si>
  <si>
    <t>Thoidingjam Rangila Devi</t>
  </si>
  <si>
    <t>FCT/EMP/075</t>
  </si>
  <si>
    <t xml:space="preserve">Jitul Hazarika </t>
  </si>
  <si>
    <t>Jitul</t>
  </si>
  <si>
    <t xml:space="preserve">Hazarika </t>
  </si>
  <si>
    <t>Sr Manager (Smart City Solutions)</t>
  </si>
  <si>
    <t>Dharmeshwar Hazarika</t>
  </si>
  <si>
    <t>jithazarika23@gmail.com</t>
  </si>
  <si>
    <t>5571 4638 1145</t>
  </si>
  <si>
    <t>AHGPH3204A</t>
  </si>
  <si>
    <t>BE</t>
  </si>
  <si>
    <t>50100098658561</t>
  </si>
  <si>
    <t>HDFC0001071</t>
  </si>
  <si>
    <t>Area- Gohpur, Near Static Colony, Itanagar Dist: Papum Pare, State- Arunachal Pradesh.</t>
  </si>
  <si>
    <t>Madhupur paraliguri gaon pin- 786007</t>
  </si>
  <si>
    <t>9706903443</t>
  </si>
  <si>
    <t>Jerina Sonowal</t>
  </si>
  <si>
    <t>FCT/EMP/047</t>
  </si>
  <si>
    <t xml:space="preserve">Vikas Kumar </t>
  </si>
  <si>
    <t xml:space="preserve">Kumar </t>
  </si>
  <si>
    <t>RMCC</t>
  </si>
  <si>
    <t>Arvind Singh</t>
  </si>
  <si>
    <t>Tawang</t>
  </si>
  <si>
    <t>Vk.213smit@gmail.com</t>
  </si>
  <si>
    <t>6484 1249 3586</t>
  </si>
  <si>
    <t>CZPPK9067H</t>
  </si>
  <si>
    <t>MBA</t>
  </si>
  <si>
    <t>Operation Management</t>
  </si>
  <si>
    <t>0257101033611</t>
  </si>
  <si>
    <t>CNRB0000257</t>
  </si>
  <si>
    <t>Yangse Store , Tawang Old Market , Near 99 Shops, Tawang, Arunachal Pradesh , PIN Code- 790104</t>
  </si>
  <si>
    <t>Vill PO GHAREYA, P.S WAZIRGANJ, DISTRICT GAYA, BIHAR, PIN 805131 ,</t>
  </si>
  <si>
    <t>9153813281</t>
  </si>
  <si>
    <t xml:space="preserve">Arvind Singh </t>
  </si>
  <si>
    <t xml:space="preserve">Father </t>
  </si>
  <si>
    <t>FCT/EMP/049</t>
  </si>
  <si>
    <t xml:space="preserve">Pramod Singh </t>
  </si>
  <si>
    <t>Pramod</t>
  </si>
  <si>
    <t xml:space="preserve">Singh </t>
  </si>
  <si>
    <t>Jaipal Singh</t>
  </si>
  <si>
    <t>Joshimath</t>
  </si>
  <si>
    <t>bishtpramod381@gmail.com</t>
  </si>
  <si>
    <t>8508 4039 3059</t>
  </si>
  <si>
    <t>CYZPB2564H</t>
  </si>
  <si>
    <t xml:space="preserve">Mechanical Engineering </t>
  </si>
  <si>
    <t>50100377676656</t>
  </si>
  <si>
    <t>HDFC0000280</t>
  </si>
  <si>
    <t xml:space="preserve">New Ravi gram joshimath near garhwal scouts district chamoli joshimath pin code 246443 uttarakhand </t>
  </si>
  <si>
    <t>Village Luintha po, shrikot district pauri garhwal uttarakhand pin 246169</t>
  </si>
  <si>
    <t>8650141847</t>
  </si>
  <si>
    <t>FCT/EMP/051</t>
  </si>
  <si>
    <t xml:space="preserve">Dorjee Choton </t>
  </si>
  <si>
    <t>Dorjee</t>
  </si>
  <si>
    <t xml:space="preserve">Choton </t>
  </si>
  <si>
    <t>Assistant Manager</t>
  </si>
  <si>
    <t>Urgen Gyatso Lama</t>
  </si>
  <si>
    <t>dchoton26@gmail.com</t>
  </si>
  <si>
    <t>Female</t>
  </si>
  <si>
    <t>9519 2609 2224</t>
  </si>
  <si>
    <t>BBZPC6672B</t>
  </si>
  <si>
    <t>50100622591497</t>
  </si>
  <si>
    <t>Near sp office itanagar 
Po/ps- Itanagar papum pare district 
791111</t>
  </si>
  <si>
    <t>VILL- CHINGI ,PO/PS- KALAKTANG 790002</t>
  </si>
  <si>
    <t>9404031154</t>
  </si>
  <si>
    <t>Urgen wangmu</t>
  </si>
  <si>
    <t>Sister</t>
  </si>
  <si>
    <t>FCT/EMP/051A</t>
  </si>
  <si>
    <t>Mohan Chandra Das</t>
  </si>
  <si>
    <t>Mohan</t>
  </si>
  <si>
    <t>Chandra Das</t>
  </si>
  <si>
    <t>Manager – Nagaland, Assam &amp; Arunachal Pradesh</t>
  </si>
  <si>
    <t>Kamala Kant Das</t>
  </si>
  <si>
    <t>Guwahati</t>
  </si>
  <si>
    <t>mohanchdas88@gmail.com</t>
  </si>
  <si>
    <t>3933 0999 4338</t>
  </si>
  <si>
    <t>ATIPD4813F</t>
  </si>
  <si>
    <t>Diploma</t>
  </si>
  <si>
    <t>Electrical &amp; House Wiring</t>
  </si>
  <si>
    <t>31742944626</t>
  </si>
  <si>
    <t>SBIN0018065</t>
  </si>
  <si>
    <t xml:space="preserve">Mohan Chandra Das,C/O: Kamala Kanta Das , Vill: Hatuwapara , P.O + P. S: Azara , Dist: Kamrup (M) Assam , Pin: 781017 </t>
  </si>
  <si>
    <t>C/O-Kamala Kanta Das , Azara Hatuwapara , Azara , Kamrup Metro, Assam-781017</t>
  </si>
  <si>
    <t>9181110657</t>
  </si>
  <si>
    <t>Juri Das</t>
  </si>
  <si>
    <t>FCT/EMP/052</t>
  </si>
  <si>
    <t>Rejaqul Islam</t>
  </si>
  <si>
    <t>Rejaqul</t>
  </si>
  <si>
    <t>Islam</t>
  </si>
  <si>
    <t>Technical Support Executive</t>
  </si>
  <si>
    <t>Abul Hussain</t>
  </si>
  <si>
    <t>rejaqulislam@gmail.com</t>
  </si>
  <si>
    <t>8561 8289 7774</t>
  </si>
  <si>
    <t>AFNPI8395A</t>
  </si>
  <si>
    <t>Electrical &amp; Electronics Engineering</t>
  </si>
  <si>
    <t>20031676198</t>
  </si>
  <si>
    <t>SBIN0000078</t>
  </si>
  <si>
    <t>Vill- Noldoba , PO- Bidyapur, Dist&amp;PS - Bongaigaon , State- Assam , Pin code-783372</t>
  </si>
  <si>
    <t>Vill- Naldoba , PO- Bidyapur , Dist&amp;PS- Bongaigaon state -Assam pin code-783372</t>
  </si>
  <si>
    <t>8638433592</t>
  </si>
  <si>
    <t>Nasrin Sultana</t>
  </si>
  <si>
    <t>FCT/EMP/053</t>
  </si>
  <si>
    <t>Kiran Dhami</t>
  </si>
  <si>
    <t>Kiran</t>
  </si>
  <si>
    <t>Dhami</t>
  </si>
  <si>
    <t>Manager BD &amp; Proposals</t>
  </si>
  <si>
    <t>Inside Sales</t>
  </si>
  <si>
    <t>Saurabh Nehra</t>
  </si>
  <si>
    <t>Hoshiyar Singh Dhami</t>
  </si>
  <si>
    <t>kirandhami012601@gmail.com</t>
  </si>
  <si>
    <t>9671 7008 7756</t>
  </si>
  <si>
    <t>CBDPD5779F</t>
  </si>
  <si>
    <t>PGDBM/ B.Tech</t>
  </si>
  <si>
    <t>919010039795832</t>
  </si>
  <si>
    <t>UTIB0000452</t>
  </si>
  <si>
    <t>200, 2nd Floor, 2A, Sumitra Devi, Sector 23, Gurugram, Haryana, India
Pin code: 122017</t>
  </si>
  <si>
    <t>Village Kalu Di Hatti Po Maranda, Maranda (258), PO: Maranda, DIST: Kangra, Himachal Pradesh - 176102</t>
  </si>
  <si>
    <t>9418054108</t>
  </si>
  <si>
    <t>Rajan Kapoor</t>
  </si>
  <si>
    <t>FCT/EMP/057</t>
  </si>
  <si>
    <t>Sagar Kumar Saini</t>
  </si>
  <si>
    <t>Sagar</t>
  </si>
  <si>
    <t>Kumar Saini</t>
  </si>
  <si>
    <t>Senior Store Executive</t>
  </si>
  <si>
    <t>Store</t>
  </si>
  <si>
    <t>Santosh Saini</t>
  </si>
  <si>
    <t>rudrsaini@1234@gmail.com</t>
  </si>
  <si>
    <t>87081 26700</t>
  </si>
  <si>
    <t>6410 2987 3382</t>
  </si>
  <si>
    <t>NRKPS1691K</t>
  </si>
  <si>
    <t>BCA</t>
  </si>
  <si>
    <t>50100618463300</t>
  </si>
  <si>
    <t>Friends P.G Near Hero honda chowk sector 10 Khandsa</t>
  </si>
  <si>
    <t xml:space="preserve">House no.69 Chitaipur Varanasi </t>
  </si>
  <si>
    <t>7458979509</t>
  </si>
  <si>
    <t>Saurabh Saini</t>
  </si>
  <si>
    <t>FCT/EMP/054</t>
  </si>
  <si>
    <t>Amit Singh</t>
  </si>
  <si>
    <t>Amit</t>
  </si>
  <si>
    <t>Service Engineer</t>
  </si>
  <si>
    <t>Younis Ahmad Bhat</t>
  </si>
  <si>
    <t>Late Bipan Lal</t>
  </si>
  <si>
    <t>J&amp;K</t>
  </si>
  <si>
    <t>amitparihar965@gmail.com</t>
  </si>
  <si>
    <t>6532 9551 3783</t>
  </si>
  <si>
    <t>QOYPS2706M</t>
  </si>
  <si>
    <t>0605040800002281</t>
  </si>
  <si>
    <t>JAKA0PRMNGR</t>
  </si>
  <si>
    <t xml:space="preserve">Kilma Homestay, Near Helipad (Durbuk) Leh, Ladakh </t>
  </si>
  <si>
    <t>S/O: Bipen lal, - Mandrana, -Mohalla, Doda, Dist. Doda, Jammu and Kashmir-182202.</t>
  </si>
  <si>
    <t>8082268357</t>
  </si>
  <si>
    <t>Avneet Singh</t>
  </si>
  <si>
    <t>FCT/EMP/66A</t>
  </si>
  <si>
    <t>Nipunta Singh</t>
  </si>
  <si>
    <t>Nipunta</t>
  </si>
  <si>
    <t>Project Manager</t>
  </si>
  <si>
    <t>4192 0360 4661</t>
  </si>
  <si>
    <t>FQQPS3111H</t>
  </si>
  <si>
    <t>FCT/EMP/060</t>
  </si>
  <si>
    <t>Ramesh Kumar</t>
  </si>
  <si>
    <t>Ramesh</t>
  </si>
  <si>
    <t>Head-R&amp;D</t>
  </si>
  <si>
    <t>R&amp;D</t>
  </si>
  <si>
    <t>Raj Kumar Prajapati</t>
  </si>
  <si>
    <t>rameshkumar11@gmail.com</t>
  </si>
  <si>
    <t>6957 1511 4431</t>
  </si>
  <si>
    <t>AKNPR6471K</t>
  </si>
  <si>
    <t xml:space="preserve">Electronics </t>
  </si>
  <si>
    <t>004001545266</t>
  </si>
  <si>
    <t>ICIC0001247</t>
  </si>
  <si>
    <t>1624, Dundaheda, Sector-21, Near Ayappa Temple</t>
  </si>
  <si>
    <t>402A, Royal Premium Apartment, New Harnichak, Anishabad, Patna (Bihar), Pin-800002</t>
  </si>
  <si>
    <t>9582956545</t>
  </si>
  <si>
    <t>Ashok Kumar</t>
  </si>
  <si>
    <t>Cousin Brother</t>
  </si>
  <si>
    <t>FCT/EMP/063</t>
  </si>
  <si>
    <t xml:space="preserve">Anup Saha </t>
  </si>
  <si>
    <t>Anup</t>
  </si>
  <si>
    <t xml:space="preserve">Saha </t>
  </si>
  <si>
    <t>Uttam Saha</t>
  </si>
  <si>
    <t>Gangtok</t>
  </si>
  <si>
    <t>anup3510@gmail.com</t>
  </si>
  <si>
    <t>3005 6974 0579</t>
  </si>
  <si>
    <t>KEQPS4165L</t>
  </si>
  <si>
    <t>50100369654012</t>
  </si>
  <si>
    <t>HDFC0004884</t>
  </si>
  <si>
    <t>O-</t>
  </si>
  <si>
    <t>Village- Tufanganj Satyajit sarani,Dist-Coochbehar,pin-736160</t>
  </si>
  <si>
    <t>VILL-TUFAGANJ Sayaji sarani, DIST-COOCHBEHAR,Pin -736160</t>
  </si>
  <si>
    <t>8617612410</t>
  </si>
  <si>
    <t xml:space="preserve">Gauri saha </t>
  </si>
  <si>
    <t xml:space="preserve">Mother </t>
  </si>
  <si>
    <t>FCT/EMP/067</t>
  </si>
  <si>
    <t>Nishant Khatri</t>
  </si>
  <si>
    <t>Nishant</t>
  </si>
  <si>
    <t>Khatri</t>
  </si>
  <si>
    <t>Manager Sales &amp; Account Management</t>
  </si>
  <si>
    <t>Sales (Defence)</t>
  </si>
  <si>
    <t>N B Khatri</t>
  </si>
  <si>
    <t>khatri.nishant1993@gmail.com</t>
  </si>
  <si>
    <t>3398 1236 2281</t>
  </si>
  <si>
    <t>ENHPK0390B</t>
  </si>
  <si>
    <t>101925949731</t>
  </si>
  <si>
    <t>00990100015614</t>
  </si>
  <si>
    <t>BARB0SOUTHE</t>
  </si>
  <si>
    <t>H NO  3117-CP
SF, SUSHANT LOK-III, SECTOR 57, GURUGRAM, HARYANA 122413</t>
  </si>
  <si>
    <t>163/2, THAKURPUR, DEHRADUN, UTTARAKHAND 248007</t>
  </si>
  <si>
    <t>7455988740</t>
  </si>
  <si>
    <t>Priya Mall</t>
  </si>
  <si>
    <t>FCT/EMP/069</t>
  </si>
  <si>
    <t>Vipin Kumar</t>
  </si>
  <si>
    <t>Vipin</t>
  </si>
  <si>
    <t xml:space="preserve">Raj Dhar </t>
  </si>
  <si>
    <t>Pithoragarh</t>
  </si>
  <si>
    <t>vipin.r.dwivedi@gmail.com</t>
  </si>
  <si>
    <t>8600 3932 0270</t>
  </si>
  <si>
    <t>EXBPK7796F</t>
  </si>
  <si>
    <t>13070100019464</t>
  </si>
  <si>
    <t>BARB0BAROTX</t>
  </si>
  <si>
    <t>11/O,Vill - KASNI(MES IB ROAD),Bin,Pithoragarh(Uttarakhand) - 262520.</t>
  </si>
  <si>
    <t>Bhuin,Bhui,Allahabad,Uttar Pradesh-221502</t>
  </si>
  <si>
    <t>6307329409</t>
  </si>
  <si>
    <t>Raj Kumar</t>
  </si>
  <si>
    <t>FCT/EMP/070</t>
  </si>
  <si>
    <t>Gautam Chandra Das</t>
  </si>
  <si>
    <t>Gautam</t>
  </si>
  <si>
    <t>Sr Manager (IT Solutions)</t>
  </si>
  <si>
    <t>Kamla Kanta Das</t>
  </si>
  <si>
    <t>nirtamdas48534@gmail.com</t>
  </si>
  <si>
    <t>8126 9669 8849</t>
  </si>
  <si>
    <t>ATIPD4814C</t>
  </si>
  <si>
    <t>Computer Science Engineering</t>
  </si>
  <si>
    <t>50100611636841</t>
  </si>
  <si>
    <t>HDFC0009310</t>
  </si>
  <si>
    <t>C/O- Kamala Kanta Das, Village- Hatuwapara, PO- Azara, PS- Azara, Dist- Kamrup (Metro), Assam, Pin-781017</t>
  </si>
  <si>
    <t>Village- Hatuwapara, Post Office- Azara, Police Station- Azara, District- Kamrup Metro, State- Assam, Pin- 781017</t>
  </si>
  <si>
    <t>9706239039</t>
  </si>
  <si>
    <t>Dristi Rani Das</t>
  </si>
  <si>
    <t>FCT/EMP/071</t>
  </si>
  <si>
    <t>Gyanendra Dwivedi</t>
  </si>
  <si>
    <t>Gyanendra</t>
  </si>
  <si>
    <t>Dwivedi</t>
  </si>
  <si>
    <t>Ram Dev Dwivedi</t>
  </si>
  <si>
    <t>9838293124gd@gmail.com</t>
  </si>
  <si>
    <t>2085 5294 0733</t>
  </si>
  <si>
    <t>BJMPD1055N</t>
  </si>
  <si>
    <t>Electrical and Electronics</t>
  </si>
  <si>
    <t>50100620199529</t>
  </si>
  <si>
    <t>TY-2/23 POLICE LINE PRAYAGRAJ PIN 211002</t>
  </si>
  <si>
    <t>Ty-2/23 Police Line Prayagraj Pin-211002</t>
  </si>
  <si>
    <t>8574680714</t>
  </si>
  <si>
    <t>Shri Ram Dev Dwivedi</t>
  </si>
  <si>
    <t>FCT/EMP/78</t>
  </si>
  <si>
    <t xml:space="preserve">Vishwamitra Kumar </t>
  </si>
  <si>
    <t>Vishwamitra</t>
  </si>
  <si>
    <t>Testing Engineer</t>
  </si>
  <si>
    <t>Success</t>
  </si>
  <si>
    <t>Parshuram Singh</t>
  </si>
  <si>
    <t>Vishwamitra61094@gmil,com</t>
  </si>
  <si>
    <t>3209 8201 6389</t>
  </si>
  <si>
    <t>FOKPK9613A</t>
  </si>
  <si>
    <t>50100323337912</t>
  </si>
  <si>
    <t xml:space="preserve">HDFC </t>
  </si>
  <si>
    <t>VILLAGE- KAPASHERA, NEW DELHI PIN CODE- 110037</t>
  </si>
  <si>
    <t>Barkagaon Bhojpur Bihar 802237</t>
  </si>
  <si>
    <t>9937129027</t>
  </si>
  <si>
    <t xml:space="preserve">Vinay kumar </t>
  </si>
  <si>
    <t>FCT/EMP/085</t>
  </si>
  <si>
    <t>Rakesh Kumar Gupta</t>
  </si>
  <si>
    <t>Rakesh</t>
  </si>
  <si>
    <t>Kumar Gupta</t>
  </si>
  <si>
    <t>PROJECT COORDINATOR</t>
  </si>
  <si>
    <t>Amar Kumar Gupta</t>
  </si>
  <si>
    <t>rkg379899@gmail.com</t>
  </si>
  <si>
    <t>4312 3536 7025</t>
  </si>
  <si>
    <t>BWQPG8744J</t>
  </si>
  <si>
    <t>50100443008105</t>
  </si>
  <si>
    <t>HDFC0001963</t>
  </si>
  <si>
    <t xml:space="preserve">Dokum Colony Near SP Office, Ganga, 
Itanagar, Arunachal Pradesh,791111   </t>
  </si>
  <si>
    <t>Minuthong  Golapati  Near Water Supply, Imphal East, Manipur,795005</t>
  </si>
  <si>
    <t>9774290552</t>
  </si>
  <si>
    <t>FCT/EMP/087</t>
  </si>
  <si>
    <t>Syed</t>
  </si>
  <si>
    <t>Shajidul Haque</t>
  </si>
  <si>
    <t>SR MANAGER FUEL CELL PROJECT</t>
  </si>
  <si>
    <t>Syed Phazal Haque</t>
  </si>
  <si>
    <t>haque.syed02@gmail.com</t>
  </si>
  <si>
    <t>7095 7658 0516</t>
  </si>
  <si>
    <t>AEVPH8015B</t>
  </si>
  <si>
    <t>30821128968</t>
  </si>
  <si>
    <t>SBIN0007118</t>
  </si>
  <si>
    <t>House No. 17, Near Gramin Bank, Hans Park, Palam Vihar Extension. 
Gurugram - 122017</t>
  </si>
  <si>
    <t>House No. 192, M.B Road, Near A.S.E.B Office, Murmela, Tangla, Udalguri,Assam - 784521</t>
  </si>
  <si>
    <t>9707671788</t>
  </si>
  <si>
    <t>Syed Zehirul Haque</t>
  </si>
  <si>
    <t>Elder Brother</t>
  </si>
  <si>
    <t>FCT/EMP/088</t>
  </si>
  <si>
    <t xml:space="preserve">Sandeep Singh </t>
  </si>
  <si>
    <t>Sandeep</t>
  </si>
  <si>
    <t>Kesar Singh</t>
  </si>
  <si>
    <t>Leh</t>
  </si>
  <si>
    <t>ersandeep458@gmail.com</t>
  </si>
  <si>
    <t>6049 9643 3550</t>
  </si>
  <si>
    <t>MSPPS9871L</t>
  </si>
  <si>
    <t>50100651967908</t>
  </si>
  <si>
    <t>Near Skara Rd,
Opposite Larisa Resort, Leh 194101</t>
  </si>
  <si>
    <t>sawalkote, ,sawalkote, Sarthala, Reasi ,Sarthalkot, Jammu And Kashmir 182313</t>
  </si>
  <si>
    <t>9149747985</t>
  </si>
  <si>
    <t>Kiran Jyoti</t>
  </si>
  <si>
    <t>Spouse</t>
  </si>
  <si>
    <t>FCT/EMP/098</t>
  </si>
  <si>
    <t>Pinki Rawat</t>
  </si>
  <si>
    <t>Pinki</t>
  </si>
  <si>
    <t>Rawat</t>
  </si>
  <si>
    <t>Finance Exexutive</t>
  </si>
  <si>
    <t>Jitendra Kumar Bhati</t>
  </si>
  <si>
    <t>Desh Raj</t>
  </si>
  <si>
    <t>pinki.rd1776@gmail.com</t>
  </si>
  <si>
    <t>6014 0277 5111</t>
  </si>
  <si>
    <t>DXCPR6651G</t>
  </si>
  <si>
    <t>Financial Management &amp; HR</t>
  </si>
  <si>
    <t>7111506629</t>
  </si>
  <si>
    <t>KKBK0004574</t>
  </si>
  <si>
    <t>B+ve</t>
  </si>
  <si>
    <t>P-1776 Baljeet Nagar, Near Jhandewala chowk, Patel Nagar 110008</t>
  </si>
  <si>
    <t>1776 P Block Near Jhande Wala chowk Punjabi basti baljeet nagar Patel Nagar New Delhi 110008</t>
  </si>
  <si>
    <t>9818247566</t>
  </si>
  <si>
    <t>FCT/EMP/100</t>
  </si>
  <si>
    <t xml:space="preserve">Akashdeep Gogoi </t>
  </si>
  <si>
    <t>Akashdeep</t>
  </si>
  <si>
    <t xml:space="preserve">Gogoi </t>
  </si>
  <si>
    <t>Engineer(Service&amp;Support)</t>
  </si>
  <si>
    <t>Failed</t>
  </si>
  <si>
    <t>Amulya Gogoi</t>
  </si>
  <si>
    <t>Akashdeepgogoi.276@gmail.com</t>
  </si>
  <si>
    <t>3528 7135 5274</t>
  </si>
  <si>
    <t>BOHPG9251B</t>
  </si>
  <si>
    <t>3423553045</t>
  </si>
  <si>
    <t>CBIN0283518</t>
  </si>
  <si>
    <t xml:space="preserve">C/O Amulya Gogoi, Namghar Path, Near Nabajyoti Club, Hengrabari, Hengrabari, Kamrup Metro, Assam 781036 </t>
  </si>
  <si>
    <t>Hengrabari namghar path , guwahati,kamrup metro ,Assam, 781036</t>
  </si>
  <si>
    <t>9435133731</t>
  </si>
  <si>
    <t>FCT/EMP/102</t>
  </si>
  <si>
    <t xml:space="preserve">Mukesh Kumar </t>
  </si>
  <si>
    <t>Mukesh</t>
  </si>
  <si>
    <t>Daljeet Kumar</t>
  </si>
  <si>
    <t>mbhagat543@gmail.com</t>
  </si>
  <si>
    <t>9202 6537 3578</t>
  </si>
  <si>
    <t>HGTPK9543J</t>
  </si>
  <si>
    <t>0564040100001242</t>
  </si>
  <si>
    <t>JAKA0BHALRA</t>
  </si>
  <si>
    <t>R/O VILLAGE BHALRA, BHADERWAH, DIST. DODA , STATE ( UT) J&amp;K, PINCODE 182221</t>
  </si>
  <si>
    <t>R/o village Bhalra, Bhaderwah, Doda J&amp;K 182221</t>
  </si>
  <si>
    <t>9858136513</t>
  </si>
  <si>
    <t>FCT/EMP/103</t>
  </si>
  <si>
    <t>Laishram Arunkumar Singh</t>
  </si>
  <si>
    <t>Laishram</t>
  </si>
  <si>
    <t>Arunkumar Singh</t>
  </si>
  <si>
    <t>Success with Exception</t>
  </si>
  <si>
    <t>Laishram Nandakumar Singh</t>
  </si>
  <si>
    <t>Imphal</t>
  </si>
  <si>
    <t>arunlaishram92@gmail.com</t>
  </si>
  <si>
    <t>9119 5553 1580</t>
  </si>
  <si>
    <t>IWQPS4392B</t>
  </si>
  <si>
    <t>37375893924</t>
  </si>
  <si>
    <t>SBIN0018546</t>
  </si>
  <si>
    <t>TAKYEL KOLOM LEIKAI,TAKYEL MAPAL,IMPHAL WEST ,MANIPUR,795113</t>
  </si>
  <si>
    <t>TAKYEL KOLOM LEIKAI,TAKYEL MAPAL,IMPHAL WEST,MANIPUR,795113</t>
  </si>
  <si>
    <t>9971864338</t>
  </si>
  <si>
    <t>Mutum Jallandhiya chanu</t>
  </si>
  <si>
    <t>FCT/EMP/105</t>
  </si>
  <si>
    <t>Dalip Singh</t>
  </si>
  <si>
    <t>Dalip</t>
  </si>
  <si>
    <t>ENGINEER - Field Trials</t>
  </si>
  <si>
    <t>Gopal Singh</t>
  </si>
  <si>
    <t>dalipsinghrautela175047@gmail.com</t>
  </si>
  <si>
    <t>8561 4641 2549</t>
  </si>
  <si>
    <t>KQVPS6871J</t>
  </si>
  <si>
    <t>Diploma/ B.Com</t>
  </si>
  <si>
    <t>Electtonics</t>
  </si>
  <si>
    <t>090901510541</t>
  </si>
  <si>
    <t>ICIC0000909</t>
  </si>
  <si>
    <t>401, Gali No 8 Satguru Enclave, Opp Maruti Gate N0 1, Gurugram, HR-122015</t>
  </si>
  <si>
    <t>S/O: Gopal Singh, simtaya(tallisethi), Daun, PO:Don, DIST:Nainital, Uttarakhand. 263159</t>
  </si>
  <si>
    <t>8937864915</t>
  </si>
  <si>
    <t>Kuber Singh</t>
  </si>
  <si>
    <t>FCT/EMP/106</t>
  </si>
  <si>
    <t>Younis</t>
  </si>
  <si>
    <t>Ahmad Bhat</t>
  </si>
  <si>
    <t>Senior Manager – Support &amp; Maintenance (Northern Operations)</t>
  </si>
  <si>
    <t>AVP Ops</t>
  </si>
  <si>
    <t>Not Done</t>
  </si>
  <si>
    <t>A B Majeed Bhat</t>
  </si>
  <si>
    <t>youryounis@gmail.com</t>
  </si>
  <si>
    <t>3460 1488 6274</t>
  </si>
  <si>
    <t>CRXPB7764E</t>
  </si>
  <si>
    <t>0422044440000010</t>
  </si>
  <si>
    <t>JAKA0KHANDA</t>
  </si>
  <si>
    <t>Khanda BK Pora Budgam J&amp;K India 192121</t>
  </si>
  <si>
    <t>Khanda BK Pora Budgam J&amp;K India</t>
  </si>
  <si>
    <t>9622571740</t>
  </si>
  <si>
    <t>Ab Majeed Bhat</t>
  </si>
  <si>
    <t>FCT/EMP/110</t>
  </si>
  <si>
    <t xml:space="preserve">Pramud Konch </t>
  </si>
  <si>
    <t>Pramud</t>
  </si>
  <si>
    <t xml:space="preserve">Konch </t>
  </si>
  <si>
    <t>Electrician</t>
  </si>
  <si>
    <t>Prafulla Konch</t>
  </si>
  <si>
    <t>pramudkonch8@gmail.com</t>
  </si>
  <si>
    <t>3358 1806 6243</t>
  </si>
  <si>
    <t>DQBPK9507G</t>
  </si>
  <si>
    <t>10th</t>
  </si>
  <si>
    <t>0633010621151</t>
  </si>
  <si>
    <t>PUNB0063320</t>
  </si>
  <si>
    <t>Village- Tenga Aam Majgaon, PO- Ghilamara, PS- Ghilamara, Dist- Lakhimpur, State- Assam, Pin-787053</t>
  </si>
  <si>
    <t>Village- Tenga Am Majgaon, PO- Ghilamara, PS- Ghilamara, Dist- Lakhimpur, Pin-787053</t>
  </si>
  <si>
    <t>9101704871</t>
  </si>
  <si>
    <t>Rita Konch</t>
  </si>
  <si>
    <t>FCT/EMP/109</t>
  </si>
  <si>
    <t>Suraj Gurung</t>
  </si>
  <si>
    <t>Suraj</t>
  </si>
  <si>
    <t>Gurung</t>
  </si>
  <si>
    <t>Network Administrator</t>
  </si>
  <si>
    <t>Thaman Bahadur Gurung</t>
  </si>
  <si>
    <t>gurung8131@gmail.com</t>
  </si>
  <si>
    <t>8101 4035 3476</t>
  </si>
  <si>
    <t>BRDPG9458D</t>
  </si>
  <si>
    <t>101375614488 </t>
  </si>
  <si>
    <t>40589467169</t>
  </si>
  <si>
    <t>SBIN0061325</t>
  </si>
  <si>
    <t>BKR Apartment, Chandranagar, Itanagar, Arunachal Pradesh - 791111</t>
  </si>
  <si>
    <t>543/4 Mawpat Road, Near Housing Colony, Lumshyiap, Nongmynsong, Shillong, Meghalaya 793019</t>
  </si>
  <si>
    <t>8794725077</t>
  </si>
  <si>
    <t>Thaman Gurung</t>
  </si>
  <si>
    <t>FCT/EMP/112</t>
  </si>
  <si>
    <t>Riti Srivastava</t>
  </si>
  <si>
    <t>Riti</t>
  </si>
  <si>
    <t>Srivastava</t>
  </si>
  <si>
    <t>Finance Executive</t>
  </si>
  <si>
    <t>Rajesh Kumar</t>
  </si>
  <si>
    <t>riti1560srivastava@gmail.com</t>
  </si>
  <si>
    <t>2411 9742 9258</t>
  </si>
  <si>
    <t>GXKPS4099J</t>
  </si>
  <si>
    <t>52230025521652</t>
  </si>
  <si>
    <t>BDBL0001845</t>
  </si>
  <si>
    <t>B-132, Street 1, Maidan, Garhi Road, Chhattarpur, Delhi-110074</t>
  </si>
  <si>
    <t>H.No. 1262 Pakka Pokhra Husainabad Jaunpur-222002 Uttar Pradesh</t>
  </si>
  <si>
    <t>Rupal Srivastava</t>
  </si>
  <si>
    <t>FCT/EMP/113</t>
  </si>
  <si>
    <t>Mohammad Asif Saifi</t>
  </si>
  <si>
    <t>Mohammad</t>
  </si>
  <si>
    <t>Asif Saifi</t>
  </si>
  <si>
    <t>Mohammad Babu Saifi</t>
  </si>
  <si>
    <t>asif18269@gmail.com</t>
  </si>
  <si>
    <t>9409 0988 6069</t>
  </si>
  <si>
    <t>LDOPS9894J</t>
  </si>
  <si>
    <t>918010113927691</t>
  </si>
  <si>
    <t>UTIB0001084</t>
  </si>
  <si>
    <t>Yadav Enclave U 59 Rd Block phase 3 sector 24 Gurgaon, Haryana</t>
  </si>
  <si>
    <t>53 Delapeer Near Genius Coaching Bareilly Uttar Pardesh - 243122</t>
  </si>
  <si>
    <t>7906558001</t>
  </si>
  <si>
    <t>Arif Saifi</t>
  </si>
  <si>
    <t>FCT/EMP/115</t>
  </si>
  <si>
    <t>Himanshu Parivar</t>
  </si>
  <si>
    <t>Himanshu</t>
  </si>
  <si>
    <t>Parivar</t>
  </si>
  <si>
    <t>ENGINEER - Testing</t>
  </si>
  <si>
    <t>Santosh Kumar</t>
  </si>
  <si>
    <t>himanshuparivar512@gmail.com</t>
  </si>
  <si>
    <t>4146 8010 4407</t>
  </si>
  <si>
    <t>FLUPP6222B</t>
  </si>
  <si>
    <t>919010094610103</t>
  </si>
  <si>
    <t>UTIB0000226</t>
  </si>
  <si>
    <t>Sarhol sec -18 , Gali no-2 , Aman general store near by genpact company  gurgaon haryana 122015</t>
  </si>
  <si>
    <t>Dinapur Dinapur Varanasi Uatter Pradesh 221204</t>
  </si>
  <si>
    <t>7839754126</t>
  </si>
  <si>
    <t>Santosh kumar</t>
  </si>
  <si>
    <t xml:space="preserve">Father / Mother </t>
  </si>
  <si>
    <t>FCT/EMP/116</t>
  </si>
  <si>
    <t>Jitendra</t>
  </si>
  <si>
    <t>Kumar Bhati</t>
  </si>
  <si>
    <t>Sr Manager - Finance</t>
  </si>
  <si>
    <t>Brahmanand Bhati</t>
  </si>
  <si>
    <t>JITENDRABHATI8790@GMAIL.COM</t>
  </si>
  <si>
    <t>7233 5520 1779</t>
  </si>
  <si>
    <t>AWOPB8759K</t>
  </si>
  <si>
    <t>50100040328640</t>
  </si>
  <si>
    <t>HDFC0001673</t>
  </si>
  <si>
    <t>C-737 Second Floor Jvts Garden Chattarpur Extension New Delhi 110074</t>
  </si>
  <si>
    <t>C 737 SECOND FLOOR JVTS GARDEN CHATTARPUR EXTENSION NEW DELHI 110074</t>
  </si>
  <si>
    <t>9958707246</t>
  </si>
  <si>
    <t>Neha Bhati</t>
  </si>
  <si>
    <t>FCT/EMP/118</t>
  </si>
  <si>
    <t>Amit Kumar</t>
  </si>
  <si>
    <t>Binod Kumar Choudhary</t>
  </si>
  <si>
    <t>enggamit.mits@gmail.com</t>
  </si>
  <si>
    <t>8398 5490 4117</t>
  </si>
  <si>
    <t>DFCPK4413R</t>
  </si>
  <si>
    <t>50100278582107</t>
  </si>
  <si>
    <t>HDFC0001067</t>
  </si>
  <si>
    <t>Hno 487,Gali no 2 ,OM Nagar , Gurgoan Haryana</t>
  </si>
  <si>
    <t>Vill Nathpatty PO Balua Bazar ,Supaul Bihar-854339</t>
  </si>
  <si>
    <t>9142591278</t>
  </si>
  <si>
    <t>Chanchal Kumari Jha</t>
  </si>
  <si>
    <t>MS Consultancy</t>
  </si>
  <si>
    <t>FCT/EMP/120</t>
  </si>
  <si>
    <t xml:space="preserve">Basit Mushtaq </t>
  </si>
  <si>
    <t>Basit</t>
  </si>
  <si>
    <t xml:space="preserve">Mushtaq </t>
  </si>
  <si>
    <t>Mushtaq Ahmad Bhat</t>
  </si>
  <si>
    <t>basitbhat4130@gmail.com</t>
  </si>
  <si>
    <t>5001 3345 2208</t>
  </si>
  <si>
    <t>DVFPM3031N</t>
  </si>
  <si>
    <t>50100697675728</t>
  </si>
  <si>
    <t>HDFC0002862</t>
  </si>
  <si>
    <t xml:space="preserve">Srinagar Jammu and Kashmir </t>
  </si>
  <si>
    <t xml:space="preserve">Katrasoo kulgam near p.h.c. katrasoo </t>
  </si>
  <si>
    <t>7006715946</t>
  </si>
  <si>
    <t>Mushtaq Ahmed Bhat</t>
  </si>
  <si>
    <t>FCT/EMP/121</t>
  </si>
  <si>
    <t xml:space="preserve">Md Raunak </t>
  </si>
  <si>
    <t>Md</t>
  </si>
  <si>
    <t xml:space="preserve">Raunak </t>
  </si>
  <si>
    <t>Manager Pre Sales (IT)</t>
  </si>
  <si>
    <t>Sales (Non Defence)</t>
  </si>
  <si>
    <t>Shaukat Ali</t>
  </si>
  <si>
    <t>mdraunak.1991@gmail.com</t>
  </si>
  <si>
    <t>7912 5471 3186</t>
  </si>
  <si>
    <t>BFOPR9580N</t>
  </si>
  <si>
    <t>IT</t>
  </si>
  <si>
    <t>100029939700</t>
  </si>
  <si>
    <t>INDB0000022</t>
  </si>
  <si>
    <t xml:space="preserve">B26, 3rd Floor, Ambedkar Nagar Colony, Chhatarpur, New Delhi, 110074 </t>
  </si>
  <si>
    <t>H.No 54 , Mohalla Shivganj, Near Masjid , Narkatiaganj, Distt West Champaran, Bihar 845455</t>
  </si>
  <si>
    <t>8292957505</t>
  </si>
  <si>
    <t xml:space="preserve">Shaukat Ali </t>
  </si>
  <si>
    <t>FCT/EMP/122</t>
  </si>
  <si>
    <t>Sangeeta</t>
  </si>
  <si>
    <t>Narendra Yadav</t>
  </si>
  <si>
    <t>kath01261@gmail.com</t>
  </si>
  <si>
    <t>6797 1807 7593</t>
  </si>
  <si>
    <t>LJNPS6129K</t>
  </si>
  <si>
    <t>Electronics and Communication Engineering</t>
  </si>
  <si>
    <t>38558690521</t>
  </si>
  <si>
    <t>SBIN0031464</t>
  </si>
  <si>
    <t>Kathoowas,Alwar, Rajasthan - 301704</t>
  </si>
  <si>
    <t>Kathoowas , Alwar, Rajasthan 301704</t>
  </si>
  <si>
    <t>9812364339</t>
  </si>
  <si>
    <t>Mohit Kumar</t>
  </si>
  <si>
    <t xml:space="preserve">Brother </t>
  </si>
  <si>
    <t>FCT/EMP/125</t>
  </si>
  <si>
    <t>Ajay Kumar</t>
  </si>
  <si>
    <t>Ajay</t>
  </si>
  <si>
    <t>Shri Narayan Singh</t>
  </si>
  <si>
    <t>Himachal Pradesh</t>
  </si>
  <si>
    <t>ajaythakur07767@gmail.com</t>
  </si>
  <si>
    <t xml:space="preserve">82192 43592 </t>
  </si>
  <si>
    <t>3354 7262 6337</t>
  </si>
  <si>
    <t>DBIPK1615K</t>
  </si>
  <si>
    <t>50100242229371</t>
  </si>
  <si>
    <t>HDFC0006405</t>
  </si>
  <si>
    <t>27H, Near Sheetal Hotel, Noble Enclave, Sector 22A, Gurgaon, Haryana 122015</t>
  </si>
  <si>
    <t>Village-Alsogi P.O smaila,tehsil Baldwara,Distt mandi Himachal Pradesh-175034</t>
  </si>
  <si>
    <t>7591002970</t>
  </si>
  <si>
    <t>Rama Sharma</t>
  </si>
  <si>
    <t>FCT/EMP/129</t>
  </si>
  <si>
    <t>Manoj Kumar</t>
  </si>
  <si>
    <t>Manoj</t>
  </si>
  <si>
    <t>Design Engineer- Mechanical</t>
  </si>
  <si>
    <t>Prem Singh</t>
  </si>
  <si>
    <t>mk809204@gmail.com</t>
  </si>
  <si>
    <t>6696 2424 1378</t>
  </si>
  <si>
    <t>HHDPK5049E</t>
  </si>
  <si>
    <t>77770138887381</t>
  </si>
  <si>
    <t>FDRL0007777</t>
  </si>
  <si>
    <t>H.no- 74 Lohia pg, Ghitorni, New delhi, 110030.</t>
  </si>
  <si>
    <t>Vill-Niwarmundi, Jaspur, Udham singh Nagar, uttarakhand, 244712</t>
  </si>
  <si>
    <t>7533939623</t>
  </si>
  <si>
    <t>Pradeep Kumar</t>
  </si>
  <si>
    <t>FCT/EMP/130</t>
  </si>
  <si>
    <t xml:space="preserve">Pranjal Saikiah </t>
  </si>
  <si>
    <t>Pranjal</t>
  </si>
  <si>
    <t xml:space="preserve">Saikiah </t>
  </si>
  <si>
    <t>Help Desk Support (Electricals)</t>
  </si>
  <si>
    <t>Hara Kanta Saikiah</t>
  </si>
  <si>
    <t>pranjalsaikia457@gmail.com</t>
  </si>
  <si>
    <t>9127258192 / 6901304914</t>
  </si>
  <si>
    <t>3734 0753 0367</t>
  </si>
  <si>
    <t>MYDPS8734C</t>
  </si>
  <si>
    <t>40590991316</t>
  </si>
  <si>
    <t>Dokum Colony, ITANAGAR ,Near-SP OFFICE, Arunachal Pradesh -791111</t>
  </si>
  <si>
    <t>C/O : Hara Kanta Saikiah.Village Bairagipara ,PO: Samatiapara, PS: Sipajhar, Darrang , (Assam)784147</t>
  </si>
  <si>
    <t>6901304914</t>
  </si>
  <si>
    <t xml:space="preserve">Ajay Saikiah </t>
  </si>
  <si>
    <t>FCT/EMP/134</t>
  </si>
  <si>
    <t>Advitiya</t>
  </si>
  <si>
    <t>Kathuria</t>
  </si>
  <si>
    <t>Vice President-Defence Sales &amp; Operations</t>
  </si>
  <si>
    <t>Anil Kumar Kathuria</t>
  </si>
  <si>
    <t>adysworld1@gmail.com</t>
  </si>
  <si>
    <t>8069 2524 0154</t>
  </si>
  <si>
    <t>ALPPK7449H</t>
  </si>
  <si>
    <t>1st March</t>
  </si>
  <si>
    <t>M.Phil</t>
  </si>
  <si>
    <t>02051150056317</t>
  </si>
  <si>
    <t>HDFC0000205</t>
  </si>
  <si>
    <t>House No 152-C, Kitchlu Nagar, Ludhiana, Punjab-141001</t>
  </si>
  <si>
    <t>152-C, Kitchlu Nagar, Ludhiana, Punjab-141001</t>
  </si>
  <si>
    <t>9610384080</t>
  </si>
  <si>
    <t>Neha Kathuria</t>
  </si>
  <si>
    <t>FCT/EMP/137</t>
  </si>
  <si>
    <t xml:space="preserve">Bedanta Kumar Bora </t>
  </si>
  <si>
    <t>Bedanta</t>
  </si>
  <si>
    <t xml:space="preserve">Kumar Bora </t>
  </si>
  <si>
    <t>Bedanta Bora</t>
  </si>
  <si>
    <t>Phanidhar Bora</t>
  </si>
  <si>
    <t>Pasighat</t>
  </si>
  <si>
    <t>bedantabora187@gmail.com</t>
  </si>
  <si>
    <t>8683 6410 6873</t>
  </si>
  <si>
    <t>COLPB7169A</t>
  </si>
  <si>
    <t>SBIN0002048</t>
  </si>
  <si>
    <t>C/o , Kanak Deka, lachit Nagar, Near Priyam Lodge, Tezpur,Assam.</t>
  </si>
  <si>
    <t>H/ n: 05, Vill.- Hollow Gaon, PO: Khongia, PS: Dergaon, Dist.- Golaghat, Assam, Pin- 785614</t>
  </si>
  <si>
    <t>6001177436</t>
  </si>
  <si>
    <t>Nira Bora</t>
  </si>
  <si>
    <t>FCT/EMP/148</t>
  </si>
  <si>
    <t>Anuj Kumar</t>
  </si>
  <si>
    <t>Anuj</t>
  </si>
  <si>
    <t>Engineer-Solution Design</t>
  </si>
  <si>
    <t>Akshay Kumar</t>
  </si>
  <si>
    <t>Shiv Abhilash</t>
  </si>
  <si>
    <t>anuj8524.ak@gmail.com</t>
  </si>
  <si>
    <t>3879 2868 6162</t>
  </si>
  <si>
    <t>IELPK5772J</t>
  </si>
  <si>
    <t>025301614375</t>
  </si>
  <si>
    <t>ICIC0000253</t>
  </si>
  <si>
    <t>626/22 street no. 4 shivji Park sector 10 Gurgaon</t>
  </si>
  <si>
    <t>kachari Veerpur khain karchana allahabad 212307</t>
  </si>
  <si>
    <t>9839513695</t>
  </si>
  <si>
    <t>Ambuj Kumar</t>
  </si>
  <si>
    <t>FCT/EMP/152</t>
  </si>
  <si>
    <t>Yojna Rakheja</t>
  </si>
  <si>
    <t>Yojna</t>
  </si>
  <si>
    <t>Rakheja</t>
  </si>
  <si>
    <t>Associate-Marketing</t>
  </si>
  <si>
    <t>Marketing</t>
  </si>
  <si>
    <t>Nutei Lalnunsangi</t>
  </si>
  <si>
    <t>Aryan Manoj</t>
  </si>
  <si>
    <t>Dinesh Rakheja</t>
  </si>
  <si>
    <t>yojnarakheja1998@gmail.com</t>
  </si>
  <si>
    <t>8124 6849 8722</t>
  </si>
  <si>
    <t>EQJPR5878E</t>
  </si>
  <si>
    <t>Marketing &amp; Strategy</t>
  </si>
  <si>
    <t>CNRB0018837</t>
  </si>
  <si>
    <t>U51/21, DLF Phase 3, Sector 24, Gurgaon</t>
  </si>
  <si>
    <t>58/59 Jublee Ganj B.C Bazar Meerut Cantt</t>
  </si>
  <si>
    <t>9045950662</t>
  </si>
  <si>
    <t>Manisha Rakheja</t>
  </si>
  <si>
    <t>Mother</t>
  </si>
  <si>
    <t>Linkedin</t>
  </si>
  <si>
    <t>FCT/EMP/153</t>
  </si>
  <si>
    <t>Kewal Rai</t>
  </si>
  <si>
    <t>Kewal</t>
  </si>
  <si>
    <t>Rai</t>
  </si>
  <si>
    <t>Engineer- Service and Support</t>
  </si>
  <si>
    <t>Kashinath Yadav</t>
  </si>
  <si>
    <t>kiratichamlingkewal@gmail.com</t>
  </si>
  <si>
    <t>5408 9357 2907</t>
  </si>
  <si>
    <t>EUGPR 4604K</t>
  </si>
  <si>
    <t>SBIN0009034</t>
  </si>
  <si>
    <t>Tadong, Gangtok East Sikkim, India</t>
  </si>
  <si>
    <t>Upper parengoan, PW Deythang, Takuthang West Sikkim, 737121</t>
  </si>
  <si>
    <t>7872653703</t>
  </si>
  <si>
    <t>Kalpana Rai</t>
  </si>
  <si>
    <t>FCT/EMP/154</t>
  </si>
  <si>
    <t>Sanjana</t>
  </si>
  <si>
    <t>Associate-Operations &amp; Strategic Projects</t>
  </si>
  <si>
    <t>Parmesh Nagar</t>
  </si>
  <si>
    <t>sanjananagar.aspire@gmail.com</t>
  </si>
  <si>
    <t>4486 3268 8523</t>
  </si>
  <si>
    <t>JJEPS0040E</t>
  </si>
  <si>
    <t>yes</t>
  </si>
  <si>
    <t>102158140274</t>
  </si>
  <si>
    <t>BA (H)</t>
  </si>
  <si>
    <t>English</t>
  </si>
  <si>
    <t>6146000100017996</t>
  </si>
  <si>
    <t>PUNBO614600</t>
  </si>
  <si>
    <t>o+</t>
  </si>
  <si>
    <t xml:space="preserve">U-56/11 DLF Phase-3 Gurgaon- 122002 Haryana India </t>
  </si>
  <si>
    <t>House N 600, Chhawadi Mohalla, DLF Phase III, Nathupur (67), PO: Nathupur, Dist. Gurgaon Haryana, 122002</t>
  </si>
  <si>
    <t>9711257080</t>
  </si>
  <si>
    <t>Lokesh Nagar</t>
  </si>
  <si>
    <t>FCT/EMP/156</t>
  </si>
  <si>
    <t>Arvind Kumar Agrahari</t>
  </si>
  <si>
    <t>Arvind</t>
  </si>
  <si>
    <t>Kumar Agrahari</t>
  </si>
  <si>
    <t>Engineer -R&amp;D</t>
  </si>
  <si>
    <t>Dattatreya Paul</t>
  </si>
  <si>
    <t>Raj kumar sah</t>
  </si>
  <si>
    <t>arvindkumaragrahari117@gmail.com</t>
  </si>
  <si>
    <t>5702 7651 3253</t>
  </si>
  <si>
    <t>CAOPA7878D</t>
  </si>
  <si>
    <t>4051001500017460'</t>
  </si>
  <si>
    <t>PUNBO405100</t>
  </si>
  <si>
    <t>353-B, Munirka Village, Behind Gurudwara, New Delhi 110067</t>
  </si>
  <si>
    <t>353-B, Munirka Village, Behind Gurudwara, New Delhi, Munirka, PO- J.N.U., South West Delhi 110067</t>
  </si>
  <si>
    <t>9955463634</t>
  </si>
  <si>
    <t>Raj Kumar sah</t>
  </si>
  <si>
    <t>FCT/EMP/155</t>
  </si>
  <si>
    <t>Riddhi Oberoi</t>
  </si>
  <si>
    <t>Riddhi</t>
  </si>
  <si>
    <t>Oberoi</t>
  </si>
  <si>
    <t>Associate-HR</t>
  </si>
  <si>
    <t>Human Resource</t>
  </si>
  <si>
    <t>Surangma Shrivastava</t>
  </si>
  <si>
    <t>Gagan Deep Oberoi</t>
  </si>
  <si>
    <t>riddhioberoi03@gmail.com</t>
  </si>
  <si>
    <t>9070 7559 2459</t>
  </si>
  <si>
    <t>AFHPO9328R</t>
  </si>
  <si>
    <t>B.Com (H)</t>
  </si>
  <si>
    <t>Commerce</t>
  </si>
  <si>
    <t>HDFC0000337</t>
  </si>
  <si>
    <t>H.No. 108 Narang Colony Janak Puri West 110058, New Delhi near Unity One Mall &amp; Hanuman Mandir</t>
  </si>
  <si>
    <t>H.No. 108 Narang Colony Janak Puri West New Delhi -110058</t>
  </si>
  <si>
    <t>9810315424</t>
  </si>
  <si>
    <t>Markus</t>
  </si>
  <si>
    <t>FCT/EMP/158</t>
  </si>
  <si>
    <t>Devansh Sharma</t>
  </si>
  <si>
    <t>Devansh</t>
  </si>
  <si>
    <t>Sharma</t>
  </si>
  <si>
    <t>Hardware Trainee Engineer</t>
  </si>
  <si>
    <t>Harishankar Pandey</t>
  </si>
  <si>
    <t>Sansar Chand Shrama</t>
  </si>
  <si>
    <t>devanshs1510@gmail.com</t>
  </si>
  <si>
    <t>8753 7645 4875</t>
  </si>
  <si>
    <t>QJRPS7306K</t>
  </si>
  <si>
    <t>BE/ B.Tech</t>
  </si>
  <si>
    <t>SBIN0014642</t>
  </si>
  <si>
    <t xml:space="preserve">Royal PG, Sector 22, Noble Enclave (in front of Panchayat Cafe), Gurugram, Haryana. 122001 </t>
  </si>
  <si>
    <t>H.No. 178, Lane No-21, JAWAHAR NAGAR, New Plot, New Plots, PO:Rehari Mohalla, DIST: Jammu, Jammu and Kashmir, 180005</t>
  </si>
  <si>
    <t>9419368262</t>
  </si>
  <si>
    <t>Sansar Chand Sharma</t>
  </si>
  <si>
    <t>FCT/EMP/159</t>
  </si>
  <si>
    <t xml:space="preserve">Jeevan Singh </t>
  </si>
  <si>
    <t>Jeevan</t>
  </si>
  <si>
    <t>Sumit Pal</t>
  </si>
  <si>
    <t>Sh Thakur Das</t>
  </si>
  <si>
    <t>erjeevanrajpu@gmail.com</t>
  </si>
  <si>
    <t>8956 0579 9073</t>
  </si>
  <si>
    <t>LVIPS6418Q</t>
  </si>
  <si>
    <t>0240040150002193'</t>
  </si>
  <si>
    <t>JAKAOCHNDAR</t>
  </si>
  <si>
    <t xml:space="preserve">Natna Dramen, Teh Rajgarh, Distt RAMBAN, state jammu and kashmir </t>
  </si>
  <si>
    <t>Natna, Teh Rajgarh, Distt RAMBAN UT jammu and kashmir.</t>
  </si>
  <si>
    <t>9797623623</t>
  </si>
  <si>
    <t>Angraz Singh</t>
  </si>
  <si>
    <t>Reference - Younis</t>
  </si>
  <si>
    <t>FCT/EMP/160</t>
  </si>
  <si>
    <t>Sudhanshu Misra</t>
  </si>
  <si>
    <t>Sudhanshu</t>
  </si>
  <si>
    <t>Misra</t>
  </si>
  <si>
    <t>Nayeem Ali Lone</t>
  </si>
  <si>
    <t>Sh Inderjeet Sharma</t>
  </si>
  <si>
    <t>Sudhanshusharma17099@gmail.com</t>
  </si>
  <si>
    <t>9364 3507 3955</t>
  </si>
  <si>
    <t>EMNPM4043J</t>
  </si>
  <si>
    <t>0240001500021180'</t>
  </si>
  <si>
    <t>PUNB0024000</t>
  </si>
  <si>
    <t>Skara rd leh</t>
  </si>
  <si>
    <t>Hno 207 lane no 9 phase 2 suraksha vihar colony bsf paloura jammu 181124</t>
  </si>
  <si>
    <t>6005706719</t>
  </si>
  <si>
    <t>Sh. Inderjeet Sharma</t>
  </si>
  <si>
    <t>FCT/EMP/161</t>
  </si>
  <si>
    <t>Nitin Bharti</t>
  </si>
  <si>
    <t>Nitin</t>
  </si>
  <si>
    <t>Bharti</t>
  </si>
  <si>
    <t>Sanidhya Jha</t>
  </si>
  <si>
    <t>Suresh Chandra</t>
  </si>
  <si>
    <t>nitinkatiyar.katiyar@gmail.com</t>
  </si>
  <si>
    <t>6727 3952 8357</t>
  </si>
  <si>
    <t>BUFPB4365K</t>
  </si>
  <si>
    <t>SBIN0061225</t>
  </si>
  <si>
    <t>Khedki daula Gurugram</t>
  </si>
  <si>
    <t>Vill. &amp; Post- Ursan, Head post- Derapur, District- Kanpur Dehat</t>
  </si>
  <si>
    <t>9198269913</t>
  </si>
  <si>
    <t>Anju Lata</t>
  </si>
  <si>
    <t>Reference - Anuj</t>
  </si>
  <si>
    <t>FCT/EMP/162</t>
  </si>
  <si>
    <t>Kashish Juneja</t>
  </si>
  <si>
    <t>Kashish</t>
  </si>
  <si>
    <t>Juneja</t>
  </si>
  <si>
    <t>EA/Admin</t>
  </si>
  <si>
    <t>Administration</t>
  </si>
  <si>
    <t>Karan</t>
  </si>
  <si>
    <t>Prachi Sandhya</t>
  </si>
  <si>
    <t>Pankaj Juneja</t>
  </si>
  <si>
    <t>kashishjuneja20@gmail.com</t>
  </si>
  <si>
    <t>3861 9374 4910</t>
  </si>
  <si>
    <t>BGHPJ1313D</t>
  </si>
  <si>
    <t>B.Com</t>
  </si>
  <si>
    <t>50100212174733'</t>
  </si>
  <si>
    <t>HDFC0001898</t>
  </si>
  <si>
    <t>484, Niti Khand 2, Indirapuram, Ghaziabad, 201014</t>
  </si>
  <si>
    <t>6/15-B, Vishwas Nagar, Street no 4, Shahdara, Delhi-110032</t>
  </si>
  <si>
    <t>8800913785</t>
  </si>
  <si>
    <t>Neelu Juneja</t>
  </si>
  <si>
    <t>FCT/EMP/163</t>
  </si>
  <si>
    <t>Aditya Raj</t>
  </si>
  <si>
    <t>Aditya</t>
  </si>
  <si>
    <t>Raj</t>
  </si>
  <si>
    <t>Devendra Sharma</t>
  </si>
  <si>
    <t>rajaditya736@gmail.com</t>
  </si>
  <si>
    <t>9872 8059 9974</t>
  </si>
  <si>
    <t>BMRPR1830H</t>
  </si>
  <si>
    <t>467018210001582'</t>
  </si>
  <si>
    <t>BKID0004670</t>
  </si>
  <si>
    <t>B-</t>
  </si>
  <si>
    <t>VILL+PO- SADULLAHPUR, PS-GANGA BRIDGE, DISTRICT -VAISHALI, STATE-BIHAR  844101</t>
  </si>
  <si>
    <t>vill+po- sadullahpur, PS- ganga bridge, District-vaishali (Bihar)  , PIN-844102</t>
  </si>
  <si>
    <t>7739728607</t>
  </si>
  <si>
    <t>Ashvani Kumar</t>
  </si>
  <si>
    <t>Reference - Ravi Kant Vadlamani</t>
  </si>
  <si>
    <t>FCT/EMP/164</t>
  </si>
  <si>
    <t xml:space="preserve">Prikshit Sharma </t>
  </si>
  <si>
    <t>Prikshit</t>
  </si>
  <si>
    <t xml:space="preserve">Sharma </t>
  </si>
  <si>
    <t>Suhail Ahmad Dar</t>
  </si>
  <si>
    <t>Yog Raj</t>
  </si>
  <si>
    <t>prikshitsharma890@gmail.com</t>
  </si>
  <si>
    <t>2633 2423 6855</t>
  </si>
  <si>
    <t>OGUPS1114P</t>
  </si>
  <si>
    <t>41323229406'</t>
  </si>
  <si>
    <t>SBIN0007974</t>
  </si>
  <si>
    <t xml:space="preserve">Kilma Home stay near helipad durbuk, Leh Ladakh </t>
  </si>
  <si>
    <t>H.no.79 near jaggi darbar paloura, jammu 181121</t>
  </si>
  <si>
    <t>9419334890</t>
  </si>
  <si>
    <t>FCT/EMP/168</t>
  </si>
  <si>
    <t>Harsh Kumar</t>
  </si>
  <si>
    <t>Harsh</t>
  </si>
  <si>
    <t>Accounts Executive</t>
  </si>
  <si>
    <t>harshchauhan9938@gmail.com</t>
  </si>
  <si>
    <t>5170 4561 0253</t>
  </si>
  <si>
    <t>JWKPK9229J</t>
  </si>
  <si>
    <t>102217838212  </t>
  </si>
  <si>
    <t>Bcom (H)</t>
  </si>
  <si>
    <t>Financial Management</t>
  </si>
  <si>
    <t>20522342000479'</t>
  </si>
  <si>
    <t>PUNB0205210</t>
  </si>
  <si>
    <t>Village - Alipur, House No -129,
Post Office - Ghamroj, Tehsil - Sohna, Pin Code - 122102,
District - Gurugram, State - Haryana</t>
  </si>
  <si>
    <t>Village-Alipur, Post office-Ghamroj, Teshil- Sohna, Pin Code- 122102, Distt - Gurguram, State- Haryana</t>
  </si>
  <si>
    <t>9999273196</t>
  </si>
  <si>
    <t>FCT/EMP/169</t>
  </si>
  <si>
    <t>Gaurav Jyoti Baruah</t>
  </si>
  <si>
    <t>Gaurav</t>
  </si>
  <si>
    <t>Jyoti Baruah</t>
  </si>
  <si>
    <t>Prakash Maity</t>
  </si>
  <si>
    <t>Dilip Baruah</t>
  </si>
  <si>
    <t>gauravjyotibaruah3578@gmail.com</t>
  </si>
  <si>
    <t>2243 0096 6598</t>
  </si>
  <si>
    <t>EWGPB7111D</t>
  </si>
  <si>
    <t>0738010328142'</t>
  </si>
  <si>
    <t>PUNB0073820</t>
  </si>
  <si>
    <t>Nawsalia, Hatigara grant, Jorhat, 785010</t>
  </si>
  <si>
    <t>6002532319</t>
  </si>
  <si>
    <t>Lakhyajit Buragohain</t>
  </si>
  <si>
    <t>Friend</t>
  </si>
  <si>
    <t>FCT/EMP/170</t>
  </si>
  <si>
    <t>Ajay Kumar 1</t>
  </si>
  <si>
    <t>Kumar 1</t>
  </si>
  <si>
    <t>Vivek Mishra</t>
  </si>
  <si>
    <t>subhash chand</t>
  </si>
  <si>
    <t>Central (Utarkashi)</t>
  </si>
  <si>
    <t>ajaychandel56@gmail.com</t>
  </si>
  <si>
    <t>3345 1598 7147</t>
  </si>
  <si>
    <t>DOVPK1871R</t>
  </si>
  <si>
    <t>Electronics &amp; Communication Engineering</t>
  </si>
  <si>
    <t>13550110012260'</t>
  </si>
  <si>
    <t>UCBA0001355</t>
  </si>
  <si>
    <t>9816374463</t>
  </si>
  <si>
    <t>Narayan singh</t>
  </si>
  <si>
    <t>Reference - Ajay Kumar</t>
  </si>
  <si>
    <t>FCT/EMP/171</t>
  </si>
  <si>
    <t xml:space="preserve">Ubaidul Rehman Dar </t>
  </si>
  <si>
    <t>Ubaidul</t>
  </si>
  <si>
    <t xml:space="preserve">Rehman Dar </t>
  </si>
  <si>
    <t>Atul Sharma</t>
  </si>
  <si>
    <t>Abdul Rehman Dar</t>
  </si>
  <si>
    <t>ubaidulrehmandar@gmail.com</t>
  </si>
  <si>
    <t>8042 4857 8108</t>
  </si>
  <si>
    <t>DXLPD4695F</t>
  </si>
  <si>
    <t>no</t>
  </si>
  <si>
    <t>708040100000434'</t>
  </si>
  <si>
    <t>JAKA0PANZOO</t>
  </si>
  <si>
    <t>Khosapora,Badgam,Raiyar Jammu and Kashmir,193411</t>
  </si>
  <si>
    <t>Khosapora,badgam, raiyar jammu and kashmir,193411</t>
  </si>
  <si>
    <t>9906866949</t>
  </si>
  <si>
    <t>Zahid</t>
  </si>
  <si>
    <t>FCT/EMP/172</t>
  </si>
  <si>
    <t>Laipubam Devshish Sharma</t>
  </si>
  <si>
    <t>Laipubam</t>
  </si>
  <si>
    <t>Devshish Sharma</t>
  </si>
  <si>
    <t>Gaurav Upadhyay</t>
  </si>
  <si>
    <t>Laipubam Sharat Sharma</t>
  </si>
  <si>
    <t>Pasighat, Arunachal Pradesh</t>
  </si>
  <si>
    <t>deironbom89@gmail.com</t>
  </si>
  <si>
    <t>4449 5007 3648</t>
  </si>
  <si>
    <t>OEAPS6218N</t>
  </si>
  <si>
    <t>3686143481'</t>
  </si>
  <si>
    <t>CBIN0281680</t>
  </si>
  <si>
    <t xml:space="preserve">Thengmeiband Hijam Leikai, Imphal West, Manipur </t>
  </si>
  <si>
    <t>Thangmeiband Hijam Leikai, Imphal Municipal Council, Lamphelpat, Imphal West, Lamphelpat Sub-Division, Manipur, 795004</t>
  </si>
  <si>
    <t>9774267341</t>
  </si>
  <si>
    <t>L. Sharat</t>
  </si>
  <si>
    <t>FCT/EMP/173</t>
  </si>
  <si>
    <t xml:space="preserve">Sahil Bhardwaj </t>
  </si>
  <si>
    <t>Sahil</t>
  </si>
  <si>
    <t xml:space="preserve">Bhardwaj </t>
  </si>
  <si>
    <t>Associate-Procurement</t>
  </si>
  <si>
    <t>Procurement</t>
  </si>
  <si>
    <t>Aryan Jain</t>
  </si>
  <si>
    <t>Premchand</t>
  </si>
  <si>
    <t>sahilsharma222002@gmail.com</t>
  </si>
  <si>
    <t>9712 8027 2192</t>
  </si>
  <si>
    <t>FSAPB4530D</t>
  </si>
  <si>
    <t>35907247600'</t>
  </si>
  <si>
    <t>SBIN0004480</t>
  </si>
  <si>
    <t>934/22 Shiv Nagar sector 10A Gurugram</t>
  </si>
  <si>
    <t>66/16 vpo batta kaithal, 136117</t>
  </si>
  <si>
    <t>8168506171</t>
  </si>
  <si>
    <t>Prem Chand</t>
  </si>
  <si>
    <t>FCT/EMP/174</t>
  </si>
  <si>
    <t>Surangma</t>
  </si>
  <si>
    <t>Shrivastava</t>
  </si>
  <si>
    <t>Senior Manager HR</t>
  </si>
  <si>
    <t>Ashware Kukreja</t>
  </si>
  <si>
    <t>Probation</t>
  </si>
  <si>
    <t>Santosh kumar shrivastava</t>
  </si>
  <si>
    <t>surangma.shrivastava@gmail.com</t>
  </si>
  <si>
    <t>5385 3567 0092</t>
  </si>
  <si>
    <t>CWTPS0940N</t>
  </si>
  <si>
    <t>MBA/ PGPSM</t>
  </si>
  <si>
    <t>50100202826862'</t>
  </si>
  <si>
    <t>HDFC0009119</t>
  </si>
  <si>
    <t>A-201, Tarun Apartment, GHS-02, Netaji Subhash Marg, Sec-47, Gurugram</t>
  </si>
  <si>
    <t>Civil Ward No.4, Near KN College, Damoh - 470661</t>
  </si>
  <si>
    <t>8238329593</t>
  </si>
  <si>
    <t>Mayank Shrivastava</t>
  </si>
  <si>
    <t>Maxonic</t>
  </si>
  <si>
    <t>FCT/EMP/175</t>
  </si>
  <si>
    <t>Manager - Compliance</t>
  </si>
  <si>
    <t>Admin &amp; Compliance</t>
  </si>
  <si>
    <t>Shweta Singh</t>
  </si>
  <si>
    <t>Shyam Lal</t>
  </si>
  <si>
    <t>karan123401@gmail.com</t>
  </si>
  <si>
    <t>6759 4906 4852</t>
  </si>
  <si>
    <t>AWEPK8980D</t>
  </si>
  <si>
    <t>Finance &amp; HR</t>
  </si>
  <si>
    <t>50100859577039</t>
  </si>
  <si>
    <t>HDFC0002549</t>
  </si>
  <si>
    <t>HOUSE NO. 346/5, MOHALLA - TEJPURA, REWARI, HARYANA - 123401</t>
  </si>
  <si>
    <t>House No. 346/5, Mohalla- Tejpura, Near Khara Kua, Rewari, Haryana - 123401</t>
  </si>
  <si>
    <t>8930529790</t>
  </si>
  <si>
    <t>Monika</t>
  </si>
  <si>
    <t>FCT/EMP/176</t>
  </si>
  <si>
    <t>Vishal Baijal</t>
  </si>
  <si>
    <t>Vishal</t>
  </si>
  <si>
    <t>Baijal</t>
  </si>
  <si>
    <t>DGM Sales</t>
  </si>
  <si>
    <t>Sales</t>
  </si>
  <si>
    <t>Binit Kumar Dubey</t>
  </si>
  <si>
    <t>Vinod Narain</t>
  </si>
  <si>
    <t>Vishalbaijal28@gmail.com</t>
  </si>
  <si>
    <t>4034 5342 2197</t>
  </si>
  <si>
    <t>AHZPB8515B</t>
  </si>
  <si>
    <t>Executive MBA</t>
  </si>
  <si>
    <t>Supply Chain Management</t>
  </si>
  <si>
    <t>002101026453'</t>
  </si>
  <si>
    <t>ICIC0001144</t>
  </si>
  <si>
    <t>B2-T14,809, purvanchal silvercity 2 ,Pi 1, opposite wipro office ,Greater noida- 201310,UP</t>
  </si>
  <si>
    <t>B2 T14 809, Purvanchal silvercity 2 Pi I ,greater noida ,UP- 201310</t>
  </si>
  <si>
    <t>8817805946</t>
  </si>
  <si>
    <t>Juhi Tandon</t>
  </si>
  <si>
    <t>FCT/EMP/178</t>
  </si>
  <si>
    <t>Nikhil Sharma</t>
  </si>
  <si>
    <t>Nikhil</t>
  </si>
  <si>
    <t>Associate- Procurement</t>
  </si>
  <si>
    <t>Vijay Kumar</t>
  </si>
  <si>
    <t>sharmanikhil0512@gmail.com</t>
  </si>
  <si>
    <t>8675 8097 8422</t>
  </si>
  <si>
    <t>LFRPS1669J</t>
  </si>
  <si>
    <t>388802130000813'</t>
  </si>
  <si>
    <t>UBIN0538884</t>
  </si>
  <si>
    <t>168-A, Laxman Vihar phase - 1, Gurugram-122001, Haryana</t>
  </si>
  <si>
    <t>947/31, near Sneh Hospital, Laxman Vihar phase - 1, Gurugram-122001</t>
  </si>
  <si>
    <t>9871341445</t>
  </si>
  <si>
    <t>FCT/EMP/180</t>
  </si>
  <si>
    <t>Aditya Sharma</t>
  </si>
  <si>
    <t>Engineer – Service &amp; Support</t>
  </si>
  <si>
    <t>Sanjay Kumar</t>
  </si>
  <si>
    <t>sharmaaditya5695@gmail.com</t>
  </si>
  <si>
    <t>5868 0956 9303</t>
  </si>
  <si>
    <t>NRTPS2782A</t>
  </si>
  <si>
    <t>43602845662'</t>
  </si>
  <si>
    <t>SBIN0002456</t>
  </si>
  <si>
    <t>Kundi (karol), Ramban , 182148,J&amp;K</t>
  </si>
  <si>
    <t>9149506461</t>
  </si>
  <si>
    <t>Sanjay kumar</t>
  </si>
  <si>
    <t>FCT/EMP/181</t>
  </si>
  <si>
    <t>Bitupan Konch</t>
  </si>
  <si>
    <t>Bitupan</t>
  </si>
  <si>
    <t>Konch</t>
  </si>
  <si>
    <t>Bikash Biswas</t>
  </si>
  <si>
    <t>Jurmon Konch</t>
  </si>
  <si>
    <t>Tezu</t>
  </si>
  <si>
    <t>bitupankonch123@gmail.com</t>
  </si>
  <si>
    <t>5583 8453 9928</t>
  </si>
  <si>
    <t>JQKPK7351D</t>
  </si>
  <si>
    <t>50530691922'</t>
  </si>
  <si>
    <t>IDIB000M504</t>
  </si>
  <si>
    <t>Chowkham no 1 pahukhowa Dhemaji assam 787058</t>
  </si>
  <si>
    <t>8638784744</t>
  </si>
  <si>
    <t>Parag jyoti konch</t>
  </si>
  <si>
    <t>FCT/EMP/182</t>
  </si>
  <si>
    <t>Neeraj Kumar</t>
  </si>
  <si>
    <t>Neeraj</t>
  </si>
  <si>
    <t>Engineer - UAV</t>
  </si>
  <si>
    <t>Pappu Sah</t>
  </si>
  <si>
    <t>nk407k@gmail.com</t>
  </si>
  <si>
    <t>7423 0045 8056</t>
  </si>
  <si>
    <t>HSKPK3823C</t>
  </si>
  <si>
    <t>924010006430986'</t>
  </si>
  <si>
    <t>UTIB0000104</t>
  </si>
  <si>
    <t>Sector 22A, Gurugram, Haryana</t>
  </si>
  <si>
    <t>Bishnupur, Begusarai , Bihar, 851129</t>
  </si>
  <si>
    <t>Dheeraj Kumar</t>
  </si>
  <si>
    <t>Hirex</t>
  </si>
  <si>
    <t>FCT/EMP/183</t>
  </si>
  <si>
    <t>Sonu Prasad</t>
  </si>
  <si>
    <t>Sonu</t>
  </si>
  <si>
    <t>Prasad</t>
  </si>
  <si>
    <t>Bacha Prasad</t>
  </si>
  <si>
    <t>prasadsonu287@gmail.com</t>
  </si>
  <si>
    <t>7872893918 / 8637000000</t>
  </si>
  <si>
    <t>5589 2342 6833</t>
  </si>
  <si>
    <t>BWXPP1393R</t>
  </si>
  <si>
    <t>50100222664417'</t>
  </si>
  <si>
    <t>HDFC0002968</t>
  </si>
  <si>
    <t>Mata wali Gali Sukhari sector 17 Gurgaon Haryana</t>
  </si>
  <si>
    <t>Middle camp 32 No. Namli Gpu chaba East Sikkim 737135</t>
  </si>
  <si>
    <t>Reference - Saurabh Nehra</t>
  </si>
  <si>
    <t>FCT/EMP/185</t>
  </si>
  <si>
    <t>Ayush Sahrawat</t>
  </si>
  <si>
    <t>Ayush</t>
  </si>
  <si>
    <t>Sahrawat</t>
  </si>
  <si>
    <t>Project Engineer-IT</t>
  </si>
  <si>
    <t>Surender</t>
  </si>
  <si>
    <t>ayushsahrawat.dev@gmail.com</t>
  </si>
  <si>
    <t>6609 4426 5424</t>
  </si>
  <si>
    <t>OWCPS6724K</t>
  </si>
  <si>
    <t>Information Technology</t>
  </si>
  <si>
    <t>50100845116129'</t>
  </si>
  <si>
    <t>HDFC0010836</t>
  </si>
  <si>
    <t>RZF-774/39, S/F, Gali No-14, Palam Colony, Raj Nagar Part 2,PO: Raj Nagar -II, DIST-South West Delhi, Delhi- 110077</t>
  </si>
  <si>
    <t>8076303247</t>
  </si>
  <si>
    <t>Surender Singh</t>
  </si>
  <si>
    <t>Reference - Surender Singh</t>
  </si>
  <si>
    <t>FCT/EMP/186</t>
  </si>
  <si>
    <t>Tapan Kumar Sahoo</t>
  </si>
  <si>
    <t>Tapan</t>
  </si>
  <si>
    <t>Kumar Sahoo</t>
  </si>
  <si>
    <t>Baishnaba Charan Sahoo</t>
  </si>
  <si>
    <t>tapansahoo058@gmail.com</t>
  </si>
  <si>
    <t>5729 2272 3148</t>
  </si>
  <si>
    <t>EEOPS6772D</t>
  </si>
  <si>
    <t xml:space="preserve">Computer Science &amp; Engineering </t>
  </si>
  <si>
    <t>028401524387'</t>
  </si>
  <si>
    <t>ICIC0000776</t>
  </si>
  <si>
    <t>C/O-Baishnaba Charan Sahoo, Kapaleswar, Choudwar, PO: Kapaleswar, DIST: Cuttack, Odisha - 754071</t>
  </si>
  <si>
    <t>Baishnab Charan Sahoo</t>
  </si>
  <si>
    <t>Topstaffing</t>
  </si>
  <si>
    <t>FCT/EMP/188</t>
  </si>
  <si>
    <t>Rishabh Jain</t>
  </si>
  <si>
    <t>Rishabh</t>
  </si>
  <si>
    <t>Jain</t>
  </si>
  <si>
    <t>Associate MIS</t>
  </si>
  <si>
    <t>Operations</t>
  </si>
  <si>
    <t>Anant Paliwal</t>
  </si>
  <si>
    <t>jain44862@gmail.com</t>
  </si>
  <si>
    <t>4617 8094 0811</t>
  </si>
  <si>
    <t>BUSPJ8958H</t>
  </si>
  <si>
    <t>MCA</t>
  </si>
  <si>
    <t>SBIN0018332</t>
  </si>
  <si>
    <t>Flat no 301,3rd floor plot no. 168 Gali number 17 near Maggi godown Kakrola Village Kakrola</t>
  </si>
  <si>
    <t>part of plot no 480, mauja nagla alwatiya near ritu restaurent, awadhpuri, shahaganj, Agra, Uttar Pradesh, 282010</t>
  </si>
  <si>
    <t>Shivam Jain</t>
  </si>
  <si>
    <t>Almabetter</t>
  </si>
  <si>
    <t>FCT/EMP/189</t>
  </si>
  <si>
    <t>Jaspreet Kaur Dhanjal</t>
  </si>
  <si>
    <t>Jaspreet</t>
  </si>
  <si>
    <t>Kaur Dhanjal</t>
  </si>
  <si>
    <t>CS</t>
  </si>
  <si>
    <t>Moon Agarwal</t>
  </si>
  <si>
    <t>Waived</t>
  </si>
  <si>
    <t>Jaspal Singh Dhanjal</t>
  </si>
  <si>
    <t>csjaspreetofficial@gmail.com</t>
  </si>
  <si>
    <t>6322 7511 5753</t>
  </si>
  <si>
    <t>BISPD8555L</t>
  </si>
  <si>
    <t>110272829570'</t>
  </si>
  <si>
    <t>CNRB0001087</t>
  </si>
  <si>
    <t>H. No. B-207, Garden Heights Sirhind Rajpura Bypass Road, Patiala PO: DCW Dist: Patiala, Punjab – 147003</t>
  </si>
  <si>
    <t>Reference - Jitendra Kumar Bhati</t>
  </si>
  <si>
    <t>FCT/EMP/190</t>
  </si>
  <si>
    <t>Sumit Chaudhary</t>
  </si>
  <si>
    <t>Sumit</t>
  </si>
  <si>
    <t>Chaudhary</t>
  </si>
  <si>
    <t>BDE – IT Pre Sales</t>
  </si>
  <si>
    <t>MD Raunak</t>
  </si>
  <si>
    <t>WIP</t>
  </si>
  <si>
    <t>Manmohan Chaudhary</t>
  </si>
  <si>
    <t>sumit2954@yahoo.com</t>
  </si>
  <si>
    <t>3875 7478 6381</t>
  </si>
  <si>
    <t>BCMPC3276K</t>
  </si>
  <si>
    <t>52410602961'</t>
  </si>
  <si>
    <t>SCBL0036031</t>
  </si>
  <si>
    <t>WZ-113A OM Uttam Nagar New Delhi - 110059</t>
  </si>
  <si>
    <t>Consultant</t>
  </si>
  <si>
    <t>DGR/EMP/002</t>
  </si>
  <si>
    <t>Henry Lalawmpuia Khiangte</t>
  </si>
  <si>
    <t>Henry</t>
  </si>
  <si>
    <t>Lalawmpuia Khiangte</t>
  </si>
  <si>
    <t>Engineer (Service &amp; Support)</t>
  </si>
  <si>
    <t>Ops (Field tech support)</t>
  </si>
  <si>
    <t>0 Years 9 Months</t>
  </si>
  <si>
    <t>lalhmingsanga</t>
  </si>
  <si>
    <t>NE Region</t>
  </si>
  <si>
    <t xml:space="preserve">32 Years </t>
  </si>
  <si>
    <t>2649 4859 8862</t>
  </si>
  <si>
    <t>ELXPK9821D</t>
  </si>
  <si>
    <t>unmarried</t>
  </si>
  <si>
    <t>Wireman (ITI)</t>
  </si>
  <si>
    <t>921010026262746'</t>
  </si>
  <si>
    <t>UTIB0001868</t>
  </si>
  <si>
    <t>Saikot, Churachandpur, Manipur</t>
  </si>
  <si>
    <t>9862016447</t>
  </si>
  <si>
    <t>Lalhmingsanga</t>
  </si>
  <si>
    <t>Reference - Leadership Team</t>
  </si>
  <si>
    <t>DGRS</t>
  </si>
  <si>
    <t>DGR/EMP/003</t>
  </si>
  <si>
    <t>Arjun Sangwan</t>
  </si>
  <si>
    <t>Arjun</t>
  </si>
  <si>
    <t>Sangwan</t>
  </si>
  <si>
    <t>Management Trainee</t>
  </si>
  <si>
    <t>Defence Sales</t>
  </si>
  <si>
    <t>Deepak Bakshi</t>
  </si>
  <si>
    <t>0 Years 2 Months</t>
  </si>
  <si>
    <t>Yashdeep Sangwan</t>
  </si>
  <si>
    <t>Ggn</t>
  </si>
  <si>
    <t>sangwan.arjun@outlook.com</t>
  </si>
  <si>
    <t xml:space="preserve">27 Years </t>
  </si>
  <si>
    <t>6480 3714 8487</t>
  </si>
  <si>
    <t>IPKPS7864M</t>
  </si>
  <si>
    <t>PGDBM/ B.A (H)</t>
  </si>
  <si>
    <t>252201504184'</t>
  </si>
  <si>
    <t>ICIC0002522</t>
  </si>
  <si>
    <t>Bharti Singh</t>
  </si>
  <si>
    <t>Director</t>
  </si>
  <si>
    <t>9871183185</t>
  </si>
  <si>
    <t>4761 2788 0497</t>
  </si>
  <si>
    <t>BHLPS5998E</t>
  </si>
  <si>
    <t>C-2/1602, Floor - 16 Parsvanth Exotica Sector - 53 Gurgaon Gurgaon Haryana - 122001</t>
  </si>
  <si>
    <t>BHHO</t>
  </si>
  <si>
    <t>BHHO/EMP/001</t>
  </si>
  <si>
    <t>Lalawmpuia</t>
  </si>
  <si>
    <t>Jr Executive Fd Support</t>
  </si>
  <si>
    <t>Mizoram</t>
  </si>
  <si>
    <t>lalawmpuia90.khiangte@gmail.com</t>
  </si>
  <si>
    <t>VENGHNUAI,HOUSE VH/k6-6,Aizawl Mizoram,Pin - 796001</t>
  </si>
  <si>
    <t>Sumsuih,Mizoram Pin - 796190</t>
  </si>
  <si>
    <t>7640866765</t>
  </si>
  <si>
    <t>Lalmuankimi</t>
  </si>
  <si>
    <t xml:space="preserve">Sister </t>
  </si>
  <si>
    <t>BHHO/EMP/002</t>
  </si>
  <si>
    <t xml:space="preserve">Tapi Bamang </t>
  </si>
  <si>
    <t>Tapi</t>
  </si>
  <si>
    <t xml:space="preserve">Bamang </t>
  </si>
  <si>
    <t>Tapi Hiba</t>
  </si>
  <si>
    <t>8257056297</t>
  </si>
  <si>
    <t>7090 4170 4755</t>
  </si>
  <si>
    <t>BNHPB3368M</t>
  </si>
  <si>
    <t>Not Provided</t>
  </si>
  <si>
    <t>10th /MITI</t>
  </si>
  <si>
    <t xml:space="preserve">Rajiv Gandhi Govt. polytechnic college campus Itanagar. Arunachal Pradesh </t>
  </si>
  <si>
    <t>Hong -ll ziro, Lower Subansiri, Arunachal Pradesh -791120</t>
  </si>
  <si>
    <t>7629820667</t>
  </si>
  <si>
    <t>Nami Meena</t>
  </si>
  <si>
    <t>BHHO/EMP/003</t>
  </si>
  <si>
    <t>Amanulla Mallik</t>
  </si>
  <si>
    <t>Amanulla</t>
  </si>
  <si>
    <t>Mallik</t>
  </si>
  <si>
    <t>Engineer (Support &amp; Maint)</t>
  </si>
  <si>
    <t>Murshad Mallik</t>
  </si>
  <si>
    <t>amanulla.mallik02@gmail.com</t>
  </si>
  <si>
    <t>9563901581</t>
  </si>
  <si>
    <t>7090 4098 2695</t>
  </si>
  <si>
    <t>GSSPM9944K</t>
  </si>
  <si>
    <t>Phuldubi, Chak phuldubi, Sagar, South 24 Parganas, West Bengal, 743373</t>
  </si>
  <si>
    <t>Phuldubi, Chak Phuldubi, Sagar, South 24 Parganas, PIN- 743373</t>
  </si>
  <si>
    <t>9635048073</t>
  </si>
  <si>
    <t>Murshid Mallik</t>
  </si>
  <si>
    <t>BHHO/EMP/004</t>
  </si>
  <si>
    <t>Assistant to the MD &amp; CEO</t>
  </si>
  <si>
    <t>Bhagchand Singh</t>
  </si>
  <si>
    <t>surender2681@gmail.com</t>
  </si>
  <si>
    <t>9581 4640 3066</t>
  </si>
  <si>
    <t>CLWPS2410R</t>
  </si>
  <si>
    <t xml:space="preserve">O+ </t>
  </si>
  <si>
    <t>RZF 774/39 RajNagar part 2, Palam colony New Delhi 110077</t>
  </si>
  <si>
    <t xml:space="preserve">RZF 774/39 RajNagar part 2 Palam colony New Delhi </t>
  </si>
  <si>
    <t>9968818838</t>
  </si>
  <si>
    <t>Sheela</t>
  </si>
  <si>
    <t>BHHO/EMP/005</t>
  </si>
  <si>
    <t xml:space="preserve">Mutarif Hussain </t>
  </si>
  <si>
    <t>Mutarif</t>
  </si>
  <si>
    <t xml:space="preserve">Hussain </t>
  </si>
  <si>
    <t>Service Support Executive</t>
  </si>
  <si>
    <t>Mohd Saleem</t>
  </si>
  <si>
    <t>hussainmutarif@gmail.com</t>
  </si>
  <si>
    <t>8082905805</t>
  </si>
  <si>
    <t>8243 5473 2609</t>
  </si>
  <si>
    <t>BNHPH4598D</t>
  </si>
  <si>
    <t>Mohalla Teh.and post office Mohalla, District and police station Doda.</t>
  </si>
  <si>
    <t>Mandrana, Mohalla, doda, Jammu and Kashmir 182202</t>
  </si>
  <si>
    <t>8492843290</t>
  </si>
  <si>
    <t>BHHO/EMP/006</t>
  </si>
  <si>
    <t>Tashi Stobdan</t>
  </si>
  <si>
    <t>Tashi</t>
  </si>
  <si>
    <t>Stobdan</t>
  </si>
  <si>
    <t>Driver</t>
  </si>
  <si>
    <t>Chhering Angchok</t>
  </si>
  <si>
    <t>tashinoso8900@gmail.com</t>
  </si>
  <si>
    <t>6006132003</t>
  </si>
  <si>
    <t>7030 7484 9834</t>
  </si>
  <si>
    <t>DRRPS0618P</t>
  </si>
  <si>
    <t>SBIN0064255</t>
  </si>
  <si>
    <t xml:space="preserve">Gingchen pa, Nubra Charasa ,Leh Ladakh 
Pin:194401 </t>
  </si>
  <si>
    <t>Gingchenpa ,Charasa ,Nubra ,Pin=194401, Leh Ladakh</t>
  </si>
  <si>
    <t>6006360006</t>
  </si>
  <si>
    <t>Urgen Wangmu</t>
  </si>
  <si>
    <t>BHHO/EMP/007</t>
  </si>
  <si>
    <t>Ibapaka Shisha Shabong</t>
  </si>
  <si>
    <t>Ibapaka</t>
  </si>
  <si>
    <t>Shisha Shabong</t>
  </si>
  <si>
    <t>HR &amp; Administration</t>
  </si>
  <si>
    <t>W R Lyngdoh</t>
  </si>
  <si>
    <t>Shillong</t>
  </si>
  <si>
    <t xml:space="preserve">ibapakas@gmail.com </t>
  </si>
  <si>
    <t>9366192632</t>
  </si>
  <si>
    <t>6152 7843 4851</t>
  </si>
  <si>
    <t>BNCPS9906D</t>
  </si>
  <si>
    <t>Single</t>
  </si>
  <si>
    <t>Hotel management</t>
  </si>
  <si>
    <t>RR 020, Rngi Jynriew Rum,  Nongthymmai, Above Iaikyntiew College. East Khasi Hills District. Meghalaya</t>
  </si>
  <si>
    <t>RR 020, Rngi Jynriew Rum, Lawjynriew, Nongthymmai. (Above Iaikyntiew College). Shillong-793014. Meghalaya</t>
  </si>
  <si>
    <t>9436116992</t>
  </si>
  <si>
    <t>BHHO/EMP/008</t>
  </si>
  <si>
    <t>Pankaj Kumar</t>
  </si>
  <si>
    <t>Pankaj</t>
  </si>
  <si>
    <t>Senior manager (Ops &amp; Support)</t>
  </si>
  <si>
    <t>Ramgopal</t>
  </si>
  <si>
    <t>pankajky251@gmail.com</t>
  </si>
  <si>
    <t>7007631659</t>
  </si>
  <si>
    <t>2011 9295 3473</t>
  </si>
  <si>
    <t>DWHPK1969J</t>
  </si>
  <si>
    <t>Khatana Apartment, T22, DLF Phase 3, Gurugram, Haryana 122010</t>
  </si>
  <si>
    <t>Vill-Belkurta, Post-Ganjar, Police Station- Ramchandrapur, Dist-Balrampur, Chhattisgarh 497220</t>
  </si>
  <si>
    <t>8435541588</t>
  </si>
  <si>
    <t>Shri Ramgopal Yadav</t>
  </si>
  <si>
    <t>DTR/EMP/001</t>
  </si>
  <si>
    <t>Shivam Kumar</t>
  </si>
  <si>
    <t>Shivam</t>
  </si>
  <si>
    <t>UAV Design Engineer</t>
  </si>
  <si>
    <t xml:space="preserve">Biju Balakrishnan </t>
  </si>
  <si>
    <t>Vinod Kumar</t>
  </si>
  <si>
    <t>Noida</t>
  </si>
  <si>
    <t>shivamfor@outlook.com</t>
  </si>
  <si>
    <t>2531 9003 7391</t>
  </si>
  <si>
    <t>ISWPK6768M</t>
  </si>
  <si>
    <t>38693396239'</t>
  </si>
  <si>
    <t>SBIN0003067</t>
  </si>
  <si>
    <t>Type 2 Ghaziabad Police Line</t>
  </si>
  <si>
    <t>350/24, DEVNAGAR, MODIPURAM, modipuram, Meerut, Uttar Pradesh, 250110</t>
  </si>
  <si>
    <t>M&amp;A</t>
  </si>
  <si>
    <t>DTR/EMP/002</t>
  </si>
  <si>
    <t>Harsh Kumar Jain</t>
  </si>
  <si>
    <t>Kumar Jain</t>
  </si>
  <si>
    <t>System Development Engineer</t>
  </si>
  <si>
    <t>Praveen Kumar Jain</t>
  </si>
  <si>
    <t>harshkrjain056@gmail.com</t>
  </si>
  <si>
    <t>4205 6794 3342</t>
  </si>
  <si>
    <t>CEDPJ7373G</t>
  </si>
  <si>
    <t>50100679082740'</t>
  </si>
  <si>
    <t>HDFC0000563</t>
  </si>
  <si>
    <t>h-223,gali no. 15, gulab vatika, Loni Dehat, Ghaziabad, Uttar Pradesh - 201102</t>
  </si>
  <si>
    <t>DTR/EMP/003</t>
  </si>
  <si>
    <t>Bhuwan Chandra Lohani</t>
  </si>
  <si>
    <t>Bhuwan</t>
  </si>
  <si>
    <t>Chandra Lohani</t>
  </si>
  <si>
    <t>Chief Scientific Engineer</t>
  </si>
  <si>
    <t>Gireesh Chamdra Lohani</t>
  </si>
  <si>
    <t>lohani.bhuwan9191@gmail.com</t>
  </si>
  <si>
    <t>5624 5431 4835</t>
  </si>
  <si>
    <t>BAPPC7604E</t>
  </si>
  <si>
    <t>1445101560227'</t>
  </si>
  <si>
    <t>CNRB0001445</t>
  </si>
  <si>
    <t>KHADKUNA, PO: Almora, DIST: Almora, Uttarakhand - 263601</t>
  </si>
  <si>
    <t>7217302774/9627869798</t>
  </si>
  <si>
    <t>FCT/CONSULTANT/001</t>
  </si>
  <si>
    <t>Biju</t>
  </si>
  <si>
    <t>Balakrishnan</t>
  </si>
  <si>
    <t>Advisor (Defence Sales &amp; BD)</t>
  </si>
  <si>
    <t>Sales(Defence)</t>
  </si>
  <si>
    <t>B A Madhavan</t>
  </si>
  <si>
    <t>loginbiju@gmail.com</t>
  </si>
  <si>
    <t>3020 9025 3255</t>
  </si>
  <si>
    <t>AHUPB2010L</t>
  </si>
  <si>
    <t>2J 302, Gurjinder Vihar, AWHO, Sector CHI 1, Greater Noida , U.P. 201310</t>
  </si>
  <si>
    <t>2 J - 302, Gurjinder Vihar, AWHO , Greater Noida 201310</t>
  </si>
  <si>
    <t>9958714881</t>
  </si>
  <si>
    <t>Kavita</t>
  </si>
  <si>
    <t>FCT/CONSULTANT/002</t>
  </si>
  <si>
    <t>Lalnunsangi Thlauhthang</t>
  </si>
  <si>
    <t>Lalnunsangi</t>
  </si>
  <si>
    <t>Thlauhthang</t>
  </si>
  <si>
    <t>Sr Mgr Marketing</t>
  </si>
  <si>
    <t>Ropianga</t>
  </si>
  <si>
    <t>nutenutzz@gmail.com</t>
  </si>
  <si>
    <t>3766 2803 3519</t>
  </si>
  <si>
    <t>AFBPL9753M</t>
  </si>
  <si>
    <t>Q6/12, Sector 25, DLF Phase 2, Gurgaon</t>
  </si>
  <si>
    <t>Section -1, Lunglawn , Near Lunglawn Field, Lunglei, Mizoram 796701</t>
  </si>
  <si>
    <t>9990215125</t>
  </si>
  <si>
    <t>Malsawmtluangi Fanai</t>
  </si>
  <si>
    <t>Cousin</t>
  </si>
  <si>
    <t>FCT/CONSULTANT/003</t>
  </si>
  <si>
    <t>Saurabh</t>
  </si>
  <si>
    <t>Nehra</t>
  </si>
  <si>
    <t>VP-Strategy and Overseas Operations</t>
  </si>
  <si>
    <t>Strategy and Overseas Operations</t>
  </si>
  <si>
    <t>Jai Prakash Nehra</t>
  </si>
  <si>
    <t>saurabhnehra@gmail.com</t>
  </si>
  <si>
    <t>8584 2338 3951</t>
  </si>
  <si>
    <t>ACTPN8160D</t>
  </si>
  <si>
    <t>MS</t>
  </si>
  <si>
    <t>B1-702, Chitrakoot Dham, Sector 19, Dwarka, New Delhi</t>
  </si>
  <si>
    <t>B1-702, Chitrakoot Dham Apts, Sector 19, Dwarka, New Delhi</t>
  </si>
  <si>
    <t>8130044421</t>
  </si>
  <si>
    <t>Lt Gen JP Nehra (Retd)</t>
  </si>
  <si>
    <t>FCT/CONSULTANT/004</t>
  </si>
  <si>
    <t>Roopak Gupta</t>
  </si>
  <si>
    <t>Roopak</t>
  </si>
  <si>
    <t>Gupta</t>
  </si>
  <si>
    <t>AVP (Ops)</t>
  </si>
  <si>
    <t>Kailash Chand Gupta</t>
  </si>
  <si>
    <t>roopak_13@yahoo.com</t>
  </si>
  <si>
    <t>4675 8203 3555</t>
  </si>
  <si>
    <t>AEQPG3123A</t>
  </si>
  <si>
    <t xml:space="preserve">Married </t>
  </si>
  <si>
    <t>Post Graduate Business Management</t>
  </si>
  <si>
    <t>Flat No 499, Pocket 2, Sector 19, Dwarka. New Delhi 110075</t>
  </si>
  <si>
    <t>Flat No 499, Pocket 2, Sector 19, Dwarka, New Delhi-110075</t>
  </si>
  <si>
    <t>8198859999</t>
  </si>
  <si>
    <t>Son</t>
  </si>
  <si>
    <t>FCT/CONSULTANT/005</t>
  </si>
  <si>
    <t>Vinu</t>
  </si>
  <si>
    <t>Saini</t>
  </si>
  <si>
    <t>Advisor-Finance business planning</t>
  </si>
  <si>
    <t>Balwant Saini</t>
  </si>
  <si>
    <t>saini.vinu77@gmail.com</t>
  </si>
  <si>
    <t>2404 4860 8845</t>
  </si>
  <si>
    <t>AFSPB8478G</t>
  </si>
  <si>
    <t>MBA &amp; GE MDC</t>
  </si>
  <si>
    <t>1372 First Floor Green Park Resident Welfare Society Old SP Road Sector 16 Faridabad 121002</t>
  </si>
  <si>
    <t xml:space="preserve">1372 First Floor Green Park Resident Welfare Society Sector 16 Faridabad 121002 </t>
  </si>
  <si>
    <t>9999712185</t>
  </si>
  <si>
    <t>Navneet Saini</t>
  </si>
  <si>
    <t>FCT/CONSULTANT/008</t>
  </si>
  <si>
    <t>Col Deepak Bakshi (Retd.)</t>
  </si>
  <si>
    <t>Col</t>
  </si>
  <si>
    <t>Deepak Bakshi (Retd.)</t>
  </si>
  <si>
    <t>EVP (New business &amp; strategic initiatives)</t>
  </si>
  <si>
    <t>Gurbaksh lal bakshi</t>
  </si>
  <si>
    <t>deepakbaksf@gmail.com</t>
  </si>
  <si>
    <t>2672 2457 9429</t>
  </si>
  <si>
    <t>ADSPB52U7F</t>
  </si>
  <si>
    <t>MSc</t>
  </si>
  <si>
    <t>D54, Tower D, 5th Floor, The Pinnacle, Behind Horizon Centre, Sector 43, DLF 5, Gurugram - 122009</t>
  </si>
  <si>
    <t>9819498415</t>
  </si>
  <si>
    <t>Meghna Bakshi</t>
  </si>
  <si>
    <t>FCT/CONSULTANT/009</t>
  </si>
  <si>
    <t>Navdeep Singh</t>
  </si>
  <si>
    <t>Navdeep</t>
  </si>
  <si>
    <t>Consultant -Graphic Designer</t>
  </si>
  <si>
    <t>Surinder Singh Dhillon</t>
  </si>
  <si>
    <t>navdeepd96@gmail.com</t>
  </si>
  <si>
    <t>3017 0372 6542</t>
  </si>
  <si>
    <t>DUVPD4390E</t>
  </si>
  <si>
    <t>2D Graphic Media Publication</t>
  </si>
  <si>
    <t>J-148, Vishnu Garden, Shakti Mandir Road, Subhash Nagar, 110018</t>
  </si>
  <si>
    <t>Kanwaljeet Kaur</t>
  </si>
  <si>
    <t>FCT/CONSULTANT/010</t>
  </si>
  <si>
    <t>Ravikant Vadlamani</t>
  </si>
  <si>
    <t>Ravikant</t>
  </si>
  <si>
    <t>Vadlamani</t>
  </si>
  <si>
    <t>VP-IT &amp; SALES (Non Def)</t>
  </si>
  <si>
    <t>IT &amp; SALES (Non Def)</t>
  </si>
  <si>
    <t>A Narsimham Vadlamani</t>
  </si>
  <si>
    <t>Ravi@fctecnrgy.com</t>
  </si>
  <si>
    <t>5472 8730 1573</t>
  </si>
  <si>
    <t>ADZPV7463N</t>
  </si>
  <si>
    <t>Computer Science</t>
  </si>
  <si>
    <t>99999920440878</t>
  </si>
  <si>
    <t>O-602, Virasha Heights, Kolar Road, Near Danish Kunj Square, Bhopal, 462042</t>
  </si>
  <si>
    <t>O-602, Virasha Heights, Kolar Road, Bhopal - 462042</t>
  </si>
  <si>
    <t>9920440878</t>
  </si>
  <si>
    <t>Swati Vadlamani</t>
  </si>
  <si>
    <t>Employee Code</t>
  </si>
  <si>
    <t>Reporting Manager</t>
  </si>
  <si>
    <t>Join Date</t>
  </si>
  <si>
    <t>Replaced Employee Name</t>
  </si>
  <si>
    <t>Employment Status</t>
  </si>
  <si>
    <t>BGV Status</t>
  </si>
  <si>
    <t>Email</t>
  </si>
  <si>
    <t>Personal Email</t>
  </si>
  <si>
    <t>Date of Birth</t>
  </si>
  <si>
    <t>Phone</t>
  </si>
  <si>
    <t>Aadhar</t>
  </si>
  <si>
    <t>PF Status</t>
  </si>
  <si>
    <t>Date of Marriage</t>
  </si>
  <si>
    <t>Highest Qualification</t>
  </si>
  <si>
    <t>Account No</t>
  </si>
  <si>
    <t>IFSC</t>
  </si>
  <si>
    <t>Address</t>
  </si>
  <si>
    <t>Emergency Contact 1 Name</t>
  </si>
  <si>
    <t>Emergency Contact 1 Phone</t>
  </si>
  <si>
    <t>Emergency Contact 1 Relation</t>
  </si>
  <si>
    <t>Sourcing Name</t>
  </si>
  <si>
    <t>karandeep@fctecnrgy.com.invalid</t>
  </si>
  <si>
    <t>deepakranga@fctecnrgy.com.invalid</t>
  </si>
  <si>
    <t>ranveer@fctecnrgy.com.invalid</t>
  </si>
  <si>
    <t>ashish@fctecnrgy.com.invalid</t>
  </si>
  <si>
    <t>eric@fctecnrgy.com.invalid</t>
  </si>
  <si>
    <t>vanlalsanga@fctecnrgy.com.invalid</t>
  </si>
  <si>
    <t>takhesira@fctecnrgy.com.invalid</t>
  </si>
  <si>
    <t>gourav@fctecnrgy.com.invalid</t>
  </si>
  <si>
    <t>vikasgaur@fctecnrgy.com.invalid</t>
  </si>
  <si>
    <t>prabhat@fctecnrgy.com.invalid</t>
  </si>
  <si>
    <t>amlesh.sah@fctecnrgy.com.invalid</t>
  </si>
  <si>
    <t>roshan@fctecnrgy.com.invalid</t>
  </si>
  <si>
    <t>swadhin@fctecnrgy.com.invalid</t>
  </si>
  <si>
    <t>romen@fctecnrgy.com.invalid</t>
  </si>
  <si>
    <t>jitul.hazarika@fctecnrgy.com.invalid</t>
  </si>
  <si>
    <t>vikash@fctecnrgy.com.invalid</t>
  </si>
  <si>
    <t>PRAMOD@fctecnrgy.com.invalid</t>
  </si>
  <si>
    <t>choton@fctecnrgy.com.invalid</t>
  </si>
  <si>
    <t>mohan@fctecnrgy.com.invalid</t>
  </si>
  <si>
    <t>rejaqul@fctecnrgy.com.invalid</t>
  </si>
  <si>
    <t>kiran@fctecnrgy.com.invalid</t>
  </si>
  <si>
    <t>sagar@fctecnrgy.com.invalid</t>
  </si>
  <si>
    <t>amit.singh@fctecnrgy.com.invalid</t>
  </si>
  <si>
    <t>nipunta@fctecnrgy.com.invalid</t>
  </si>
  <si>
    <t>ramesh@fctecnrgy.com.invalid</t>
  </si>
  <si>
    <t>anup@fctecnrgy.com.invalid</t>
  </si>
  <si>
    <t>nishant@fctecnrgy.com.invalid</t>
  </si>
  <si>
    <t>vipin@fctecnrgy.com.invalid</t>
  </si>
  <si>
    <t>gautam@fctecnrgy.com.invalid</t>
  </si>
  <si>
    <t>gyanendra@fctecnrgy.com.invalid</t>
  </si>
  <si>
    <t>vishwamitra@fctecnrgy.com.invalid</t>
  </si>
  <si>
    <t>rakesh@fctecnrgy.com.invalid</t>
  </si>
  <si>
    <t>syed@fctecnrgy.com.invalid</t>
  </si>
  <si>
    <t>sandeep@fctecnrgy.com.invalid</t>
  </si>
  <si>
    <t>pinky@fctecnrgy.com.invalid</t>
  </si>
  <si>
    <t>akashdeep@fctecnrgy.com.invalid</t>
  </si>
  <si>
    <t>mukesh@fctecnrgy.com.invalid</t>
  </si>
  <si>
    <t>arunkumar@fctecnrgy.com.invalid</t>
  </si>
  <si>
    <t>dalip@fctecnrgy.com.invalid</t>
  </si>
  <si>
    <t>younis@fctecnrgy.com.invalid</t>
  </si>
  <si>
    <t>pramud@fctecnrgy.com.invalid</t>
  </si>
  <si>
    <t>suraj@fctecnrgy.com.invalid</t>
  </si>
  <si>
    <t>riti@fctecnrgy.com.invalid</t>
  </si>
  <si>
    <t>asif@fctecnrgy.com.invalid</t>
  </si>
  <si>
    <t>himanshu.parivar@fctecnrgy.com.invalid</t>
  </si>
  <si>
    <t>jitendra@fctecnrgy.com.invalid</t>
  </si>
  <si>
    <t>amit.kumar@fctecnrgy.com.invalid</t>
  </si>
  <si>
    <t>basit.mushtaq@fctecnrgy.com.invalid</t>
  </si>
  <si>
    <t>raunak@fctecnrgy.com.invalid</t>
  </si>
  <si>
    <t>sangeeta@fctecnrgy.com.invalid</t>
  </si>
  <si>
    <t>ajay.kumar@fctecnrgy.com.invalid</t>
  </si>
  <si>
    <t>manoj.kumar@fctecnrgy.com.invalid</t>
  </si>
  <si>
    <t>pranjal.saikiah@fctecnrgy.com.invalid</t>
  </si>
  <si>
    <t>advitiya.kathuria@fctecnrgy.com.invalid</t>
  </si>
  <si>
    <t>bedanta.bora@fctecnrgy.com.invalid</t>
  </si>
  <si>
    <t>anuj.kumar@fctecnrgy.com.invalid</t>
  </si>
  <si>
    <t>yojna.rakheja@fctecnrgy.com.invalid</t>
  </si>
  <si>
    <t>kewal.rai@fctecnrgy.com.invalid</t>
  </si>
  <si>
    <t>sanjana.nagar@fctecnrgy.com.invalid</t>
  </si>
  <si>
    <t>Arvind.agrahari@fctecnrgy.com.invalid</t>
  </si>
  <si>
    <t>riddhi.oberoi@fctecnrgy.com.invalid</t>
  </si>
  <si>
    <t>Devansh.sharma@fctecnrgy.com.invalid</t>
  </si>
  <si>
    <t>jeevan.singh@fctecnrgy.com.invalid</t>
  </si>
  <si>
    <t>sudhanshu.misra@fctecnrgy.com.invalid</t>
  </si>
  <si>
    <t>nitin.bharti@fctecnrgy.com.invalid</t>
  </si>
  <si>
    <t>kashish.juneja@fctecnrgy.com.invalid</t>
  </si>
  <si>
    <t>aditya.raj@fctecnrgy.com.invalid</t>
  </si>
  <si>
    <t>prikshit.sharma@fctecnrgy.com.invalid</t>
  </si>
  <si>
    <t>harsh.kumar@fctecnrgy.com.invalid</t>
  </si>
  <si>
    <t>gaurav.baruah@fctecnrgy.com.invalid</t>
  </si>
  <si>
    <t>ajay@fctecnrgy.com.invalid</t>
  </si>
  <si>
    <t>Ubaidul.dar@fctecnrgy.com.invalid</t>
  </si>
  <si>
    <t>Devshish.sharma@fctecnrgy.com.invalid</t>
  </si>
  <si>
    <t>sahil.bhardwaj@fctecnrgy.com.invalid</t>
  </si>
  <si>
    <t>surangma.shrivastava@fctecnrgy.com.invalid</t>
  </si>
  <si>
    <t>karan@fctecnrgy.com.invalid</t>
  </si>
  <si>
    <t>vishal.baijal@fctecnrgy.com.invalid</t>
  </si>
  <si>
    <t>nikhil.sharma@fctecnrgy.com.invalid</t>
  </si>
  <si>
    <t>aditya.sharma@fctecnrgy.com.invalid</t>
  </si>
  <si>
    <t>bitupan.konch@fctecnrgy.com.invalid</t>
  </si>
  <si>
    <t>neeraj.kumar@fctecnrgy.com.invalid</t>
  </si>
  <si>
    <t>sonu.prasad@fctecnrgy.com.invalid</t>
  </si>
  <si>
    <t>ayush.sahrawat@fctecnrgy.com.invalid</t>
  </si>
  <si>
    <t>tapan.sahoo@fctecnrgy.com.invalid</t>
  </si>
  <si>
    <t>rishabh.jain@fctecnrgy.com.invalid</t>
  </si>
  <si>
    <t>cs.fct@fctecnrgy.com.invalid</t>
  </si>
  <si>
    <t>sumit.chaudhary@fctecnrgy.com.invalid</t>
  </si>
  <si>
    <t>henry.khiangte@fctecnrgy.com.invalid</t>
  </si>
  <si>
    <t>arjun.sangwan@dgrsustainability.com.invalid</t>
  </si>
  <si>
    <t>bharti.bhho@gmail.com.invalid</t>
  </si>
  <si>
    <t>bamang@fctecnrgy.com.invalid</t>
  </si>
  <si>
    <t>amanulla@fctecnrgy.com.invalid</t>
  </si>
  <si>
    <t>surender.singh@fctecnrgy.com.invalid</t>
  </si>
  <si>
    <t>mutarif.hussain@fctecnrgy.com.invalid</t>
  </si>
  <si>
    <t>ibapaka@fctecnrgy.com.invalid</t>
  </si>
  <si>
    <t>pankaj@fctecnrgy.com.invalid</t>
  </si>
  <si>
    <t>shivamfor@outlook.com.invalid</t>
  </si>
  <si>
    <t>harshkrjain056@gmail.com.invalid</t>
  </si>
  <si>
    <t>lohani.bhuwan9191@gmail.com.invalid</t>
  </si>
  <si>
    <t>biju@fctecnrgy.com.invalid</t>
  </si>
  <si>
    <t>nutei@fctecnrgy.com.invalid</t>
  </si>
  <si>
    <t>Suarabh@fctecnrgy.com.invalid</t>
  </si>
  <si>
    <t>roopak.gupta@fctecnrgy.com.invalid</t>
  </si>
  <si>
    <t>vinu.saini@fctecnrgy.com.invalid</t>
  </si>
  <si>
    <t>deepak.bakshi@fctecnrgy.com.invalid</t>
  </si>
  <si>
    <t>navdeep.singh@fctecnrgy.com.invalid</t>
  </si>
  <si>
    <t>ravi@fctecnrgy.com.invalid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</si>
</sst>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;@"/>
    <numFmt numFmtId="165" formatCode="dd\-mmm\-yyyy"/>
    <numFmt numFmtId="166" formatCode="[$-409]d\-mmm\-yy;@"/>
    <numFmt numFmtId="167" formatCode="[$-F800]dddd\,\ mmmm\ dd\,\ yyyy"/>
    <numFmt numFmtId="168" formatCode="0_);\(0\)"/>
    <numFmt numFmtId="169" formatCode="[$-14C09]d\ mmm\ yyyy;@"/>
    <numFmt numFmtId="170" formatCode="[$-409]dd\-mmm\-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1" fillId="0" borderId="0"/>
  </cellStyleXfs>
  <cellXfs count="10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" fontId="5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left" vertical="center"/>
    </xf>
    <xf numFmtId="0" fontId="5" fillId="0" borderId="4" xfId="2" applyFont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top"/>
    </xf>
    <xf numFmtId="165" fontId="6" fillId="0" borderId="4" xfId="0" applyNumberFormat="1" applyFont="1" applyBorder="1" applyAlignment="1">
      <alignment horizontal="left"/>
    </xf>
    <xf numFmtId="1" fontId="5" fillId="0" borderId="4" xfId="2" applyNumberFormat="1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left" vertical="top"/>
    </xf>
    <xf numFmtId="16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top"/>
    </xf>
    <xf numFmtId="0" fontId="6" fillId="0" borderId="4" xfId="0" quotePrefix="1" applyFont="1" applyBorder="1" applyAlignment="1">
      <alignment horizontal="left"/>
    </xf>
    <xf numFmtId="0" fontId="6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6" fillId="0" borderId="4" xfId="0" applyFont="1" applyBorder="1"/>
    <xf numFmtId="1" fontId="6" fillId="0" borderId="4" xfId="0" quotePrefix="1" applyNumberFormat="1" applyFont="1" applyBorder="1" applyAlignment="1">
      <alignment horizontal="left" vertical="top"/>
    </xf>
    <xf numFmtId="0" fontId="5" fillId="0" borderId="4" xfId="1" applyFont="1" applyFill="1" applyBorder="1" applyAlignment="1">
      <alignment horizontal="left" vertical="center"/>
    </xf>
    <xf numFmtId="0" fontId="6" fillId="0" borderId="4" xfId="3" applyFont="1" applyBorder="1" applyAlignment="1">
      <alignment horizontal="left" vertical="center"/>
    </xf>
    <xf numFmtId="15" fontId="6" fillId="3" borderId="4" xfId="0" applyNumberFormat="1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" fontId="9" fillId="0" borderId="4" xfId="0" quotePrefix="1" applyNumberFormat="1" applyFont="1" applyBorder="1" applyAlignment="1">
      <alignment horizontal="left" vertical="top"/>
    </xf>
    <xf numFmtId="1" fontId="6" fillId="0" borderId="4" xfId="0" applyNumberFormat="1" applyFont="1" applyBorder="1" applyAlignment="1">
      <alignment horizontal="left"/>
    </xf>
    <xf numFmtId="0" fontId="8" fillId="0" borderId="4" xfId="1" applyFont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 wrapText="1"/>
    </xf>
    <xf numFmtId="17" fontId="5" fillId="3" borderId="4" xfId="0" applyNumberFormat="1" applyFont="1" applyFill="1" applyBorder="1" applyAlignment="1">
      <alignment horizontal="left" vertical="center"/>
    </xf>
    <xf numFmtId="15" fontId="10" fillId="4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8" fillId="0" borderId="4" xfId="1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left" vertical="top" wrapText="1"/>
    </xf>
    <xf numFmtId="166" fontId="6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left"/>
    </xf>
    <xf numFmtId="1" fontId="10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center" wrapText="1"/>
    </xf>
    <xf numFmtId="164" fontId="4" fillId="3" borderId="4" xfId="0" applyNumberFormat="1" applyFont="1" applyFill="1" applyBorder="1" applyAlignment="1">
      <alignment horizontal="center" vertical="center"/>
    </xf>
    <xf numFmtId="0" fontId="6" fillId="5" borderId="4" xfId="0" quotePrefix="1" applyFont="1" applyFill="1" applyBorder="1" applyAlignment="1">
      <alignment horizontal="left"/>
    </xf>
    <xf numFmtId="15" fontId="5" fillId="0" borderId="4" xfId="0" applyNumberFormat="1" applyFont="1" applyBorder="1" applyAlignment="1">
      <alignment horizontal="left" vertical="center"/>
    </xf>
    <xf numFmtId="0" fontId="8" fillId="0" borderId="4" xfId="1" applyFont="1" applyBorder="1" applyAlignment="1">
      <alignment horizontal="left"/>
    </xf>
    <xf numFmtId="2" fontId="6" fillId="0" borderId="4" xfId="0" applyNumberFormat="1" applyFont="1" applyBorder="1" applyAlignment="1">
      <alignment horizontal="left"/>
    </xf>
    <xf numFmtId="1" fontId="6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1" fontId="5" fillId="0" borderId="4" xfId="0" applyNumberFormat="1" applyFont="1" applyBorder="1" applyAlignment="1">
      <alignment horizontal="left"/>
    </xf>
    <xf numFmtId="2" fontId="5" fillId="0" borderId="4" xfId="0" applyNumberFormat="1" applyFont="1" applyBorder="1" applyAlignment="1">
      <alignment horizontal="left"/>
    </xf>
    <xf numFmtId="1" fontId="5" fillId="0" borderId="4" xfId="0" quotePrefix="1" applyNumberFormat="1" applyFont="1" applyBorder="1" applyAlignment="1">
      <alignment horizontal="left" vertical="top"/>
    </xf>
    <xf numFmtId="0" fontId="5" fillId="0" borderId="4" xfId="0" quotePrefix="1" applyFont="1" applyBorder="1" applyAlignment="1">
      <alignment horizontal="left"/>
    </xf>
    <xf numFmtId="0" fontId="8" fillId="0" borderId="4" xfId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top"/>
    </xf>
    <xf numFmtId="15" fontId="10" fillId="0" borderId="4" xfId="0" applyNumberFormat="1" applyFont="1" applyBorder="1" applyAlignment="1">
      <alignment horizontal="left" vertical="center"/>
    </xf>
    <xf numFmtId="167" fontId="10" fillId="6" borderId="4" xfId="0" applyNumberFormat="1" applyFont="1" applyFill="1" applyBorder="1" applyAlignment="1">
      <alignment horizontal="left" vertical="center"/>
    </xf>
    <xf numFmtId="1" fontId="6" fillId="0" borderId="4" xfId="0" quotePrefix="1" applyNumberFormat="1" applyFont="1" applyBorder="1" applyAlignment="1">
      <alignment horizontal="left" vertical="center"/>
    </xf>
    <xf numFmtId="168" fontId="6" fillId="0" borderId="4" xfId="0" quotePrefix="1" applyNumberFormat="1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5" fontId="6" fillId="0" borderId="6" xfId="0" applyNumberFormat="1" applyFont="1" applyBorder="1" applyAlignment="1">
      <alignment horizontal="left" vertical="center"/>
    </xf>
    <xf numFmtId="0" fontId="2" fillId="0" borderId="4" xfId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2" fillId="0" borderId="0" xfId="1" applyBorder="1"/>
    <xf numFmtId="0" fontId="2" fillId="0" borderId="0" xfId="1"/>
    <xf numFmtId="164" fontId="6" fillId="3" borderId="4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166" fontId="6" fillId="0" borderId="4" xfId="0" applyNumberFormat="1" applyFont="1" applyBorder="1" applyAlignment="1">
      <alignment horizontal="left" vertical="top"/>
    </xf>
    <xf numFmtId="166" fontId="6" fillId="0" borderId="4" xfId="0" applyNumberFormat="1" applyFont="1" applyBorder="1"/>
    <xf numFmtId="0" fontId="6" fillId="0" borderId="4" xfId="0" quotePrefix="1" applyFont="1" applyBorder="1"/>
    <xf numFmtId="0" fontId="6" fillId="3" borderId="4" xfId="0" applyFont="1" applyFill="1" applyBorder="1"/>
    <xf numFmtId="0" fontId="6" fillId="0" borderId="2" xfId="0" applyFont="1" applyBorder="1"/>
    <xf numFmtId="0" fontId="6" fillId="3" borderId="4" xfId="1" applyFont="1" applyFill="1" applyBorder="1" applyAlignment="1">
      <alignment horizontal="left" vertical="top"/>
    </xf>
    <xf numFmtId="0" fontId="6" fillId="0" borderId="4" xfId="1" applyFont="1" applyBorder="1"/>
    <xf numFmtId="166" fontId="6" fillId="3" borderId="4" xfId="0" applyNumberFormat="1" applyFont="1" applyFill="1" applyBorder="1"/>
    <xf numFmtId="0" fontId="6" fillId="5" borderId="4" xfId="0" applyFont="1" applyFill="1" applyBorder="1"/>
    <xf numFmtId="0" fontId="6" fillId="5" borderId="4" xfId="0" quotePrefix="1" applyFont="1" applyFill="1" applyBorder="1"/>
    <xf numFmtId="0" fontId="10" fillId="0" borderId="4" xfId="0" applyFont="1" applyBorder="1" applyAlignment="1">
      <alignment horizontal="left" vertical="top"/>
    </xf>
    <xf numFmtId="1" fontId="10" fillId="0" borderId="4" xfId="0" applyNumberFormat="1" applyFont="1" applyBorder="1"/>
    <xf numFmtId="0" fontId="10" fillId="0" borderId="4" xfId="0" applyFont="1" applyBorder="1"/>
    <xf numFmtId="0" fontId="6" fillId="3" borderId="4" xfId="0" quotePrefix="1" applyFont="1" applyFill="1" applyBorder="1"/>
    <xf numFmtId="1" fontId="6" fillId="0" borderId="4" xfId="0" applyNumberFormat="1" applyFont="1" applyBorder="1" applyAlignment="1">
      <alignment vertical="top"/>
    </xf>
    <xf numFmtId="2" fontId="6" fillId="0" borderId="4" xfId="0" applyNumberFormat="1" applyFont="1" applyBorder="1" applyAlignment="1">
      <alignment vertical="top"/>
    </xf>
    <xf numFmtId="0" fontId="6" fillId="0" borderId="4" xfId="0" quotePrefix="1" applyFont="1" applyBorder="1" applyAlignment="1">
      <alignment horizontal="right"/>
    </xf>
    <xf numFmtId="0" fontId="6" fillId="0" borderId="4" xfId="0" applyFont="1" applyBorder="1" applyAlignment="1">
      <alignment vertical="center"/>
    </xf>
    <xf numFmtId="15" fontId="6" fillId="0" borderId="4" xfId="0" applyNumberFormat="1" applyFont="1" applyBorder="1"/>
    <xf numFmtId="169" fontId="10" fillId="3" borderId="4" xfId="0" applyNumberFormat="1" applyFont="1" applyFill="1" applyBorder="1"/>
    <xf numFmtId="0" fontId="8" fillId="3" borderId="4" xfId="1" applyFont="1" applyFill="1" applyBorder="1" applyAlignment="1">
      <alignment horizontal="left" vertical="top"/>
    </xf>
    <xf numFmtId="0" fontId="10" fillId="3" borderId="4" xfId="0" applyFont="1" applyFill="1" applyBorder="1"/>
    <xf numFmtId="0" fontId="6" fillId="3" borderId="4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left"/>
    </xf>
    <xf numFmtId="0" fontId="6" fillId="3" borderId="4" xfId="0" quotePrefix="1" applyFont="1" applyFill="1" applyBorder="1" applyAlignment="1">
      <alignment wrapText="1"/>
    </xf>
    <xf numFmtId="15" fontId="6" fillId="5" borderId="4" xfId="0" applyNumberFormat="1" applyFont="1" applyFill="1" applyBorder="1"/>
    <xf numFmtId="0" fontId="6" fillId="5" borderId="4" xfId="0" applyFont="1" applyFill="1" applyBorder="1" applyAlignment="1">
      <alignment horizontal="right"/>
    </xf>
    <xf numFmtId="170" fontId="6" fillId="5" borderId="7" xfId="0" applyNumberFormat="1" applyFont="1" applyFill="1" applyBorder="1"/>
    <xf numFmtId="0" fontId="10" fillId="3" borderId="4" xfId="0" applyFont="1" applyFill="1" applyBorder="1" applyAlignment="1">
      <alignment horizontal="right"/>
    </xf>
  </cellXfs>
  <cellStyles count="4">
    <cellStyle name="Hyperlink" xfId="1" builtinId="8"/>
    <cellStyle name="Normal" xfId="0" builtinId="0"/>
    <cellStyle name="Normal 2" xfId="3" xr:uid="{9B67695C-C7CB-474C-8379-F1DC6DD31AF5}"/>
    <cellStyle name="Normal_NEW JOINEE" xfId="2" xr:uid="{36C838FD-2650-4F61-8D9E-ABDCCF04B4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autam@fctecnrgy.com" TargetMode="External"/><Relationship Id="rId21" Type="http://schemas.openxmlformats.org/officeDocument/2006/relationships/hyperlink" Target="mailto:kiran@fctecnrgy.com" TargetMode="External"/><Relationship Id="rId42" Type="http://schemas.openxmlformats.org/officeDocument/2006/relationships/hyperlink" Target="mailto:jitendra@fctecnrgy.com" TargetMode="External"/><Relationship Id="rId47" Type="http://schemas.openxmlformats.org/officeDocument/2006/relationships/hyperlink" Target="mailto:ajay.kumar@fctecnrgy.com" TargetMode="External"/><Relationship Id="rId63" Type="http://schemas.openxmlformats.org/officeDocument/2006/relationships/hyperlink" Target="mailto:sudhanshu.misra@fctecnrgy.com" TargetMode="External"/><Relationship Id="rId68" Type="http://schemas.openxmlformats.org/officeDocument/2006/relationships/hyperlink" Target="mailto:harsh.kumar@fctecnrgy.com" TargetMode="External"/><Relationship Id="rId84" Type="http://schemas.openxmlformats.org/officeDocument/2006/relationships/hyperlink" Target="mailto:sahilsharma222002@gmail.com" TargetMode="External"/><Relationship Id="rId89" Type="http://schemas.openxmlformats.org/officeDocument/2006/relationships/hyperlink" Target="mailto:amanulla@fctecnrgy.com" TargetMode="External"/><Relationship Id="rId16" Type="http://schemas.openxmlformats.org/officeDocument/2006/relationships/hyperlink" Target="mailto:vikash@fctecnrgy.com" TargetMode="External"/><Relationship Id="rId11" Type="http://schemas.openxmlformats.org/officeDocument/2006/relationships/hyperlink" Target="mailto:takhesira@fctecnrgy.com" TargetMode="External"/><Relationship Id="rId32" Type="http://schemas.openxmlformats.org/officeDocument/2006/relationships/hyperlink" Target="mailto:pinky@fctecnrgy.com" TargetMode="External"/><Relationship Id="rId37" Type="http://schemas.openxmlformats.org/officeDocument/2006/relationships/hyperlink" Target="mailto:suraj@fctecnrgy.com" TargetMode="External"/><Relationship Id="rId53" Type="http://schemas.openxmlformats.org/officeDocument/2006/relationships/hyperlink" Target="mailto:sandeep@fctecnrgy.com" TargetMode="External"/><Relationship Id="rId58" Type="http://schemas.openxmlformats.org/officeDocument/2006/relationships/hyperlink" Target="mailto:riddhi.oberoi@fctecnrgy.com" TargetMode="External"/><Relationship Id="rId74" Type="http://schemas.openxmlformats.org/officeDocument/2006/relationships/hyperlink" Target="mailto:vishal.baijal@fctecnrgy.com" TargetMode="External"/><Relationship Id="rId79" Type="http://schemas.openxmlformats.org/officeDocument/2006/relationships/hyperlink" Target="mailto:neeraj.kumar@fctecnrgy.com" TargetMode="External"/><Relationship Id="rId5" Type="http://schemas.openxmlformats.org/officeDocument/2006/relationships/hyperlink" Target="mailto:eric@fctecnrgy.com" TargetMode="External"/><Relationship Id="rId90" Type="http://schemas.openxmlformats.org/officeDocument/2006/relationships/hyperlink" Target="mailto:mutarif.hussain@fctecnrgy.com" TargetMode="External"/><Relationship Id="rId95" Type="http://schemas.openxmlformats.org/officeDocument/2006/relationships/hyperlink" Target="mailto:Suarabh@fctecnrgy.com" TargetMode="External"/><Relationship Id="rId22" Type="http://schemas.openxmlformats.org/officeDocument/2006/relationships/hyperlink" Target="mailto:sagar@fctecnrgy.com" TargetMode="External"/><Relationship Id="rId27" Type="http://schemas.openxmlformats.org/officeDocument/2006/relationships/hyperlink" Target="mailto:gyanendra@fctecnrgy.com" TargetMode="External"/><Relationship Id="rId43" Type="http://schemas.openxmlformats.org/officeDocument/2006/relationships/hyperlink" Target="mailto:amit.kumar@fctecnrgy.com" TargetMode="External"/><Relationship Id="rId48" Type="http://schemas.openxmlformats.org/officeDocument/2006/relationships/hyperlink" Target="mailto:manoj.kumar@fctecnrgy.com" TargetMode="External"/><Relationship Id="rId64" Type="http://schemas.openxmlformats.org/officeDocument/2006/relationships/hyperlink" Target="mailto:nitin.bharti@fctecnrgy.com" TargetMode="External"/><Relationship Id="rId69" Type="http://schemas.openxmlformats.org/officeDocument/2006/relationships/hyperlink" Target="mailto:gaurav.baruah@fctecnrgy.com" TargetMode="External"/><Relationship Id="rId80" Type="http://schemas.openxmlformats.org/officeDocument/2006/relationships/hyperlink" Target="mailto:amit.singh@fctecnrgy.com" TargetMode="External"/><Relationship Id="rId85" Type="http://schemas.openxmlformats.org/officeDocument/2006/relationships/hyperlink" Target="mailto:rishabh.jain@fctecnrgy.com" TargetMode="External"/><Relationship Id="rId3" Type="http://schemas.openxmlformats.org/officeDocument/2006/relationships/hyperlink" Target="mailto:ranveer@fctecnrgy.com" TargetMode="External"/><Relationship Id="rId12" Type="http://schemas.openxmlformats.org/officeDocument/2006/relationships/hyperlink" Target="mailto:romen@fctecnrgy.com" TargetMode="External"/><Relationship Id="rId17" Type="http://schemas.openxmlformats.org/officeDocument/2006/relationships/hyperlink" Target="mailto:PRAMOD@fctecnrgy.com" TargetMode="External"/><Relationship Id="rId25" Type="http://schemas.openxmlformats.org/officeDocument/2006/relationships/hyperlink" Target="mailto:nishant@fctecnrgy.com" TargetMode="External"/><Relationship Id="rId33" Type="http://schemas.openxmlformats.org/officeDocument/2006/relationships/hyperlink" Target="mailto:akashdeep@fctecnrgy.com" TargetMode="External"/><Relationship Id="rId38" Type="http://schemas.openxmlformats.org/officeDocument/2006/relationships/hyperlink" Target="mailto:pramud@fctecnrgy.com" TargetMode="External"/><Relationship Id="rId46" Type="http://schemas.openxmlformats.org/officeDocument/2006/relationships/hyperlink" Target="mailto:sangeeta@fctecnrgy.com" TargetMode="External"/><Relationship Id="rId59" Type="http://schemas.openxmlformats.org/officeDocument/2006/relationships/hyperlink" Target="mailto:sanjana.nagar@fctecnrgy.com" TargetMode="External"/><Relationship Id="rId67" Type="http://schemas.openxmlformats.org/officeDocument/2006/relationships/hyperlink" Target="mailto:prikshit.sharma@fctecnrgy.com" TargetMode="External"/><Relationship Id="rId20" Type="http://schemas.openxmlformats.org/officeDocument/2006/relationships/hyperlink" Target="mailto:rejaqul@fctecnrgy.com" TargetMode="External"/><Relationship Id="rId41" Type="http://schemas.openxmlformats.org/officeDocument/2006/relationships/hyperlink" Target="mailto:himanshu.parivar@fctecnrgy.com" TargetMode="External"/><Relationship Id="rId54" Type="http://schemas.openxmlformats.org/officeDocument/2006/relationships/hyperlink" Target="mailto:anuj.kumar@fctecnrgy.com" TargetMode="External"/><Relationship Id="rId62" Type="http://schemas.openxmlformats.org/officeDocument/2006/relationships/hyperlink" Target="mailto:jeevan.singh@fctecnrgy.com" TargetMode="External"/><Relationship Id="rId70" Type="http://schemas.openxmlformats.org/officeDocument/2006/relationships/hyperlink" Target="mailto:ajay@fctecnrgy.com" TargetMode="External"/><Relationship Id="rId75" Type="http://schemas.openxmlformats.org/officeDocument/2006/relationships/hyperlink" Target="mailto:nikhil.sharma@fctecnrgy.com" TargetMode="External"/><Relationship Id="rId83" Type="http://schemas.openxmlformats.org/officeDocument/2006/relationships/hyperlink" Target="mailto:ayush.sahrawat@fctecnrgy.com" TargetMode="External"/><Relationship Id="rId88" Type="http://schemas.openxmlformats.org/officeDocument/2006/relationships/hyperlink" Target="mailto:sumit.chaudhary@fctecnrgy.com" TargetMode="External"/><Relationship Id="rId91" Type="http://schemas.openxmlformats.org/officeDocument/2006/relationships/hyperlink" Target="mailto:ibapaka@fctecnrgy.com" TargetMode="External"/><Relationship Id="rId96" Type="http://schemas.openxmlformats.org/officeDocument/2006/relationships/hyperlink" Target="mailto:vinu.saini@fctecnrgy.com" TargetMode="External"/><Relationship Id="rId1" Type="http://schemas.openxmlformats.org/officeDocument/2006/relationships/hyperlink" Target="mailto:karandeep@fctecnrgy.com" TargetMode="External"/><Relationship Id="rId6" Type="http://schemas.openxmlformats.org/officeDocument/2006/relationships/hyperlink" Target="mailto:vanlalsanga@fctecnrgy.com" TargetMode="External"/><Relationship Id="rId15" Type="http://schemas.openxmlformats.org/officeDocument/2006/relationships/hyperlink" Target="mailto:swadhin@fctecnrgy.com" TargetMode="External"/><Relationship Id="rId23" Type="http://schemas.openxmlformats.org/officeDocument/2006/relationships/hyperlink" Target="mailto:ramesh@fctecnrgy.com" TargetMode="External"/><Relationship Id="rId28" Type="http://schemas.openxmlformats.org/officeDocument/2006/relationships/hyperlink" Target="mailto:vipin@fctecnrgy.com" TargetMode="External"/><Relationship Id="rId36" Type="http://schemas.openxmlformats.org/officeDocument/2006/relationships/hyperlink" Target="mailto:younis@fctecnrgy.com" TargetMode="External"/><Relationship Id="rId49" Type="http://schemas.openxmlformats.org/officeDocument/2006/relationships/hyperlink" Target="mailto:pranjal.saikiah@fctecnrgy.com" TargetMode="External"/><Relationship Id="rId57" Type="http://schemas.openxmlformats.org/officeDocument/2006/relationships/hyperlink" Target="mailto:yojna.rakheja@fctecnrgy.com" TargetMode="External"/><Relationship Id="rId10" Type="http://schemas.openxmlformats.org/officeDocument/2006/relationships/hyperlink" Target="mailto:jitul.hazarika@fctecnrgy.com" TargetMode="External"/><Relationship Id="rId31" Type="http://schemas.openxmlformats.org/officeDocument/2006/relationships/hyperlink" Target="mailto:rakesh@fctecnrgy.com" TargetMode="External"/><Relationship Id="rId44" Type="http://schemas.openxmlformats.org/officeDocument/2006/relationships/hyperlink" Target="mailto:basit.mushtaq@fctecnrgy.com" TargetMode="External"/><Relationship Id="rId52" Type="http://schemas.openxmlformats.org/officeDocument/2006/relationships/hyperlink" Target="mailto:vishwamitra@fctecnrgy.com" TargetMode="External"/><Relationship Id="rId60" Type="http://schemas.openxmlformats.org/officeDocument/2006/relationships/hyperlink" Target="mailto:Arvind.agrahari@fctecnrgy.com" TargetMode="External"/><Relationship Id="rId65" Type="http://schemas.openxmlformats.org/officeDocument/2006/relationships/hyperlink" Target="mailto:kashish.juneja@fctecnrgy.com" TargetMode="External"/><Relationship Id="rId73" Type="http://schemas.openxmlformats.org/officeDocument/2006/relationships/hyperlink" Target="mailto:karan@fctecnrgy.com" TargetMode="External"/><Relationship Id="rId78" Type="http://schemas.openxmlformats.org/officeDocument/2006/relationships/hyperlink" Target="mailto:sharmaaditya5695@gmail.com" TargetMode="External"/><Relationship Id="rId81" Type="http://schemas.openxmlformats.org/officeDocument/2006/relationships/hyperlink" Target="mailto:pramudkonch8@gmail.com" TargetMode="External"/><Relationship Id="rId86" Type="http://schemas.openxmlformats.org/officeDocument/2006/relationships/hyperlink" Target="mailto:jain44862@gmail.com" TargetMode="External"/><Relationship Id="rId94" Type="http://schemas.openxmlformats.org/officeDocument/2006/relationships/hyperlink" Target="mailto:biju@fctecnrgy.com" TargetMode="External"/><Relationship Id="rId99" Type="http://schemas.openxmlformats.org/officeDocument/2006/relationships/hyperlink" Target="mailto:navdeepd96@gmail.com" TargetMode="External"/><Relationship Id="rId4" Type="http://schemas.openxmlformats.org/officeDocument/2006/relationships/hyperlink" Target="mailto:ashish@fctecnrgy.com" TargetMode="External"/><Relationship Id="rId9" Type="http://schemas.openxmlformats.org/officeDocument/2006/relationships/hyperlink" Target="mailto:prabhat@fctecnrgy.com" TargetMode="External"/><Relationship Id="rId13" Type="http://schemas.openxmlformats.org/officeDocument/2006/relationships/hyperlink" Target="mailto:amlesh.sah@fctecnrgy.com" TargetMode="External"/><Relationship Id="rId18" Type="http://schemas.openxmlformats.org/officeDocument/2006/relationships/hyperlink" Target="mailto:choton@fctecnrgy.com" TargetMode="External"/><Relationship Id="rId39" Type="http://schemas.openxmlformats.org/officeDocument/2006/relationships/hyperlink" Target="mailto:riti@fctecnrgy.com" TargetMode="External"/><Relationship Id="rId34" Type="http://schemas.openxmlformats.org/officeDocument/2006/relationships/hyperlink" Target="mailto:mukesh@fctecnrgy.com" TargetMode="External"/><Relationship Id="rId50" Type="http://schemas.openxmlformats.org/officeDocument/2006/relationships/hyperlink" Target="mailto:advitiya.kathuria@fctecnrgy.com" TargetMode="External"/><Relationship Id="rId55" Type="http://schemas.openxmlformats.org/officeDocument/2006/relationships/hyperlink" Target="mailto:arunkumar@fctecnrgy.com" TargetMode="External"/><Relationship Id="rId76" Type="http://schemas.openxmlformats.org/officeDocument/2006/relationships/hyperlink" Target="mailto:aditya.sharma@fctecnrgy.com" TargetMode="External"/><Relationship Id="rId97" Type="http://schemas.openxmlformats.org/officeDocument/2006/relationships/hyperlink" Target="mailto:deepak.bakshi@fctecnrgy.com" TargetMode="External"/><Relationship Id="rId7" Type="http://schemas.openxmlformats.org/officeDocument/2006/relationships/hyperlink" Target="mailto:gourav@fctecnrgy.com" TargetMode="External"/><Relationship Id="rId71" Type="http://schemas.openxmlformats.org/officeDocument/2006/relationships/hyperlink" Target="mailto:Devshish.sharma@fctecnrgy.com" TargetMode="External"/><Relationship Id="rId92" Type="http://schemas.openxmlformats.org/officeDocument/2006/relationships/hyperlink" Target="mailto:lalawmpuia90.khiangte@gmail.com" TargetMode="External"/><Relationship Id="rId2" Type="http://schemas.openxmlformats.org/officeDocument/2006/relationships/hyperlink" Target="mailto:deepakranga@fctecnrgy.com" TargetMode="External"/><Relationship Id="rId29" Type="http://schemas.openxmlformats.org/officeDocument/2006/relationships/hyperlink" Target="mailto:nipunta@fctecnrgy.com" TargetMode="External"/><Relationship Id="rId24" Type="http://schemas.openxmlformats.org/officeDocument/2006/relationships/hyperlink" Target="mailto:anup@fctecnrgy.com" TargetMode="External"/><Relationship Id="rId40" Type="http://schemas.openxmlformats.org/officeDocument/2006/relationships/hyperlink" Target="mailto:asif@fctecnrgy.com" TargetMode="External"/><Relationship Id="rId45" Type="http://schemas.openxmlformats.org/officeDocument/2006/relationships/hyperlink" Target="mailto:raunak@fctecnrgy.com" TargetMode="External"/><Relationship Id="rId66" Type="http://schemas.openxmlformats.org/officeDocument/2006/relationships/hyperlink" Target="mailto:aditya.raj@fctecnrgy.com" TargetMode="External"/><Relationship Id="rId87" Type="http://schemas.openxmlformats.org/officeDocument/2006/relationships/hyperlink" Target="mailto:cs.fct@fctecnrgy.com" TargetMode="External"/><Relationship Id="rId61" Type="http://schemas.openxmlformats.org/officeDocument/2006/relationships/hyperlink" Target="mailto:Devansh.sharma@fctecnrgy.com" TargetMode="External"/><Relationship Id="rId82" Type="http://schemas.openxmlformats.org/officeDocument/2006/relationships/hyperlink" Target="mailto:sonu.prasad@fctecnrgy.com" TargetMode="External"/><Relationship Id="rId19" Type="http://schemas.openxmlformats.org/officeDocument/2006/relationships/hyperlink" Target="mailto:mohan@fctecnrgy.com" TargetMode="External"/><Relationship Id="rId14" Type="http://schemas.openxmlformats.org/officeDocument/2006/relationships/hyperlink" Target="mailto:roshan@fctecnrgy.com" TargetMode="External"/><Relationship Id="rId30" Type="http://schemas.openxmlformats.org/officeDocument/2006/relationships/hyperlink" Target="mailto:syed@fctecnrgy.com" TargetMode="External"/><Relationship Id="rId35" Type="http://schemas.openxmlformats.org/officeDocument/2006/relationships/hyperlink" Target="mailto:dalip@fctecnrgy.com" TargetMode="External"/><Relationship Id="rId56" Type="http://schemas.openxmlformats.org/officeDocument/2006/relationships/hyperlink" Target="mailto:kewal.rai@fctecnrgy.com" TargetMode="External"/><Relationship Id="rId77" Type="http://schemas.openxmlformats.org/officeDocument/2006/relationships/hyperlink" Target="mailto:bitupan.konch@fctecnrgy.com" TargetMode="External"/><Relationship Id="rId100" Type="http://schemas.openxmlformats.org/officeDocument/2006/relationships/hyperlink" Target="mailto:ravi@fctecnrgy.com" TargetMode="External"/><Relationship Id="rId8" Type="http://schemas.openxmlformats.org/officeDocument/2006/relationships/hyperlink" Target="mailto:vikasgaur@fctecnrgy.com" TargetMode="External"/><Relationship Id="rId51" Type="http://schemas.openxmlformats.org/officeDocument/2006/relationships/hyperlink" Target="mailto:bedanta.bora@fctecnrgy.com" TargetMode="External"/><Relationship Id="rId72" Type="http://schemas.openxmlformats.org/officeDocument/2006/relationships/hyperlink" Target="mailto:Ubaidul.dar@fctecnrgy.com" TargetMode="External"/><Relationship Id="rId93" Type="http://schemas.openxmlformats.org/officeDocument/2006/relationships/hyperlink" Target="mailto:tashinoso8900@gmail.com" TargetMode="External"/><Relationship Id="rId98" Type="http://schemas.openxmlformats.org/officeDocument/2006/relationships/hyperlink" Target="mailto:navdeep.singh@fctecn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7F58-BA08-4B93-B9BF-8BC182AADD57}">
  <dimension ref="A1:AQ110"/>
  <sheetViews>
    <sheetView tabSelected="1" zoomScale="99" workbookViewId="0">
      <pane xSplit="4" ySplit="1" topLeftCell="P2" activePane="bottomRight" state="frozen"/>
      <selection pane="topRight" activeCell="E1" sqref="E1"/>
      <selection pane="bottomLeft" activeCell="A2" sqref="A2"/>
      <selection pane="bottomRight" activeCell="T1" sqref="T1"/>
    </sheetView>
  </sheetViews>
  <sheetFormatPr defaultRowHeight="14.5" x14ac:dyDescent="0.35"/>
  <cols>
    <col min="1" max="1" width="6.81640625" style="6" customWidth="1"/>
    <col min="2" max="2" width="9" style="6" bestFit="1" customWidth="1"/>
    <col min="3" max="3" width="13.54296875" style="26" customWidth="1"/>
    <col min="4" max="6" width="19.36328125" style="6" customWidth="1"/>
    <col min="7" max="7" width="35.1796875" style="6" customWidth="1"/>
    <col min="8" max="8" width="24.1796875" style="6" customWidth="1"/>
    <col min="9" max="10" width="17.90625" style="6" customWidth="1"/>
    <col min="11" max="11" width="12.36328125" style="58" customWidth="1"/>
    <col min="12" max="12" width="18.08984375" style="58" customWidth="1"/>
    <col min="13" max="13" width="12.08984375" style="58" customWidth="1"/>
    <col min="14" max="14" width="19.453125" style="58" bestFit="1" customWidth="1"/>
    <col min="15" max="15" width="19.453125" style="58" customWidth="1"/>
    <col min="16" max="16" width="19.81640625" style="6" customWidth="1"/>
    <col min="17" max="17" width="19.90625" style="6" customWidth="1"/>
    <col min="18" max="18" width="27.81640625" style="6" customWidth="1"/>
    <col min="19" max="19" width="11" style="6" customWidth="1"/>
    <col min="20" max="20" width="32.90625" style="6" customWidth="1"/>
    <col min="21" max="21" width="32.1796875" style="6" customWidth="1"/>
    <col min="22" max="22" width="9.6328125" style="6" customWidth="1"/>
    <col min="23" max="24" width="14" style="6" customWidth="1"/>
    <col min="25" max="25" width="16.36328125" style="14" customWidth="1"/>
    <col min="26" max="26" width="17.54296875" style="14" customWidth="1"/>
    <col min="27" max="27" width="12.7265625" style="14" customWidth="1"/>
    <col min="28" max="28" width="19" style="6" customWidth="1"/>
    <col min="29" max="29" width="17.26953125" style="17" customWidth="1"/>
    <col min="30" max="30" width="15" style="6" customWidth="1"/>
    <col min="31" max="31" width="12.453125" style="68" customWidth="1"/>
    <col min="32" max="32" width="14.6328125" style="6" customWidth="1"/>
    <col min="33" max="33" width="26.453125" style="14" customWidth="1"/>
    <col min="34" max="34" width="22.6328125" style="14" customWidth="1"/>
    <col min="35" max="35" width="13.453125" style="14" customWidth="1"/>
    <col min="36" max="36" width="13.453125" style="6" customWidth="1"/>
    <col min="37" max="37" width="36.7265625" style="6" customWidth="1"/>
    <col min="38" max="38" width="44.08984375" style="6" customWidth="1"/>
    <col min="39" max="39" width="22" style="6" customWidth="1"/>
    <col min="40" max="40" width="24.6328125" style="6" customWidth="1"/>
    <col min="41" max="41" width="23.1796875" style="6" customWidth="1"/>
    <col min="42" max="42" width="28" style="6" customWidth="1"/>
    <col min="43" max="43" width="9.453125" bestFit="1" customWidth="1"/>
  </cols>
  <sheetData>
    <row r="1" spans="1:43" x14ac:dyDescent="0.35">
      <c r="A1" s="1" t="s">
        <v>0</v>
      </c>
      <c r="B1" t="s">
        <v>1</v>
      </c>
      <c r="C1" t="s">
        <v>1702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1703</v>
      </c>
      <c r="K1" t="s">
        <v>1704</v>
      </c>
      <c r="L1" t="s">
        <v>8</v>
      </c>
      <c r="M1" t="s">
        <v>9</v>
      </c>
      <c r="N1" t="s">
        <v>10</v>
      </c>
      <c r="O1" t="s">
        <v>1705</v>
      </c>
      <c r="P1" t="s">
        <v>1706</v>
      </c>
      <c r="Q1" t="s">
        <v>1707</v>
      </c>
      <c r="R1" t="s">
        <v>12</v>
      </c>
      <c r="S1" t="s">
        <v>13</v>
      </c>
      <c r="T1" t="s">
        <v>1708</v>
      </c>
      <c r="U1" t="s">
        <v>1709</v>
      </c>
      <c r="V1" t="s">
        <v>14</v>
      </c>
      <c r="W1" t="s">
        <v>1710</v>
      </c>
      <c r="X1" t="s">
        <v>15</v>
      </c>
      <c r="Y1" t="s">
        <v>1711</v>
      </c>
      <c r="Z1" t="s">
        <v>1712</v>
      </c>
      <c r="AA1" t="s">
        <v>16</v>
      </c>
      <c r="AB1" t="s">
        <v>1713</v>
      </c>
      <c r="AC1" t="s">
        <v>17</v>
      </c>
      <c r="AD1" t="s">
        <v>18</v>
      </c>
      <c r="AE1" t="s">
        <v>1714</v>
      </c>
      <c r="AF1" t="s">
        <v>1715</v>
      </c>
      <c r="AG1" t="s">
        <v>19</v>
      </c>
      <c r="AH1" t="s">
        <v>1716</v>
      </c>
      <c r="AI1" t="s">
        <v>1717</v>
      </c>
      <c r="AJ1" t="s">
        <v>20</v>
      </c>
      <c r="AK1" t="s">
        <v>1718</v>
      </c>
      <c r="AL1" t="s">
        <v>21</v>
      </c>
      <c r="AM1" t="s">
        <v>1719</v>
      </c>
      <c r="AN1" t="s">
        <v>1720</v>
      </c>
      <c r="AO1" t="s">
        <v>1721</v>
      </c>
      <c r="AP1" t="s">
        <v>1722</v>
      </c>
      <c r="AQ1" s="2" t="s">
        <v>22</v>
      </c>
    </row>
    <row r="2" spans="1:43" x14ac:dyDescent="0.35">
      <c r="A2" s="3">
        <f t="shared" ref="A2:A65" si="0">ROW()-1</f>
        <v>1</v>
      </c>
      <c r="B2" s="4" t="s">
        <v>23</v>
      </c>
      <c r="C2" s="5" t="s">
        <v>24</v>
      </c>
      <c r="D2" s="4" t="s">
        <v>25</v>
      </c>
      <c r="E2" s="4" t="s">
        <v>26</v>
      </c>
      <c r="F2" s="4" t="s">
        <v>27</v>
      </c>
      <c r="G2" s="6" t="s">
        <v>28</v>
      </c>
      <c r="H2" s="6" t="s">
        <v>29</v>
      </c>
      <c r="I2" s="6" t="s">
        <v>30</v>
      </c>
      <c r="J2" s="6" t="s">
        <v>30</v>
      </c>
      <c r="K2" s="7">
        <v>42411</v>
      </c>
      <c r="L2" s="7" t="str">
        <f t="shared" ref="L2:L7" ca="1" si="1">IF(K2="","",DATEDIF(K2,TODAY(),"Y")&amp;" Years "&amp; DATEDIF(K2,TODAY(),"YM")&amp;" Months")</f>
        <v>10 Years 1 Months</v>
      </c>
      <c r="M2" s="7" t="s">
        <v>31</v>
      </c>
      <c r="N2" s="7" t="s">
        <v>31</v>
      </c>
      <c r="O2" s="7" t="s">
        <v>31</v>
      </c>
      <c r="P2" s="6" t="s">
        <v>32</v>
      </c>
      <c r="Q2" s="6" t="s">
        <v>33</v>
      </c>
      <c r="R2" s="8" t="s">
        <v>34</v>
      </c>
      <c r="S2" s="4" t="s">
        <v>35</v>
      </c>
      <c r="T2" s="9" t="s">
        <v>1723</v>
      </c>
      <c r="U2" s="9"/>
      <c r="V2" s="4" t="s">
        <v>36</v>
      </c>
      <c r="W2" s="10">
        <v>24245</v>
      </c>
      <c r="X2" s="10" t="str">
        <f t="shared" ref="X2:X65" ca="1" si="2">DATEDIF(W2, TODAY(), "Y") &amp; " Years "</f>
        <v xml:space="preserve">59 Years </v>
      </c>
      <c r="Y2" s="6" t="s">
        <v>37</v>
      </c>
      <c r="Z2" s="11" t="s">
        <v>38</v>
      </c>
      <c r="AA2" s="8" t="s">
        <v>39</v>
      </c>
      <c r="AB2" s="4" t="s">
        <v>40</v>
      </c>
      <c r="AC2" s="12" t="s">
        <v>31</v>
      </c>
      <c r="AD2" s="4" t="s">
        <v>41</v>
      </c>
      <c r="AE2" s="13" t="s">
        <v>42</v>
      </c>
      <c r="AF2" s="6" t="s">
        <v>43</v>
      </c>
      <c r="AG2" s="14" t="s">
        <v>44</v>
      </c>
      <c r="AH2" s="6">
        <v>65050439614</v>
      </c>
      <c r="AI2" s="14" t="s">
        <v>45</v>
      </c>
      <c r="AK2" s="6" t="s">
        <v>46</v>
      </c>
      <c r="AL2" s="6" t="e">
        <v>#N/A</v>
      </c>
      <c r="AM2" s="15" t="s">
        <v>31</v>
      </c>
      <c r="AN2" s="15" t="s">
        <v>31</v>
      </c>
      <c r="AO2" s="15" t="s">
        <v>31</v>
      </c>
      <c r="AP2" s="4" t="s">
        <v>31</v>
      </c>
      <c r="AQ2" t="s">
        <v>47</v>
      </c>
    </row>
    <row r="3" spans="1:43" x14ac:dyDescent="0.35">
      <c r="A3" s="3">
        <f t="shared" si="0"/>
        <v>2</v>
      </c>
      <c r="B3" s="4" t="s">
        <v>23</v>
      </c>
      <c r="C3" s="5" t="s">
        <v>48</v>
      </c>
      <c r="D3" s="16" t="s">
        <v>49</v>
      </c>
      <c r="E3" s="4" t="s">
        <v>49</v>
      </c>
      <c r="F3" s="4"/>
      <c r="G3" s="6" t="s">
        <v>50</v>
      </c>
      <c r="H3" s="17" t="s">
        <v>51</v>
      </c>
      <c r="I3" s="17" t="s">
        <v>52</v>
      </c>
      <c r="J3" s="17" t="s">
        <v>53</v>
      </c>
      <c r="K3" s="7">
        <v>43132</v>
      </c>
      <c r="L3" s="7" t="str">
        <f t="shared" ca="1" si="1"/>
        <v>8 Years 1 Months</v>
      </c>
      <c r="M3" s="7" t="s">
        <v>31</v>
      </c>
      <c r="N3" s="7" t="s">
        <v>54</v>
      </c>
      <c r="O3" s="7" t="s">
        <v>31</v>
      </c>
      <c r="P3" s="6" t="s">
        <v>32</v>
      </c>
      <c r="Q3" s="6" t="s">
        <v>33</v>
      </c>
      <c r="R3" s="6" t="s">
        <v>55</v>
      </c>
      <c r="S3" s="4" t="s">
        <v>35</v>
      </c>
      <c r="T3" s="9" t="s">
        <v>1724</v>
      </c>
      <c r="U3" s="14" t="s">
        <v>56</v>
      </c>
      <c r="V3" s="4" t="s">
        <v>36</v>
      </c>
      <c r="W3" s="10">
        <v>32805</v>
      </c>
      <c r="X3" s="10" t="str">
        <f t="shared" ca="1" si="2"/>
        <v xml:space="preserve">36 Years </v>
      </c>
      <c r="Y3" s="6">
        <v>9255140123</v>
      </c>
      <c r="Z3" s="14" t="s">
        <v>57</v>
      </c>
      <c r="AA3" s="14" t="s">
        <v>58</v>
      </c>
      <c r="AB3" s="4" t="s">
        <v>40</v>
      </c>
      <c r="AC3" s="12" t="s">
        <v>31</v>
      </c>
      <c r="AD3" s="4" t="s">
        <v>41</v>
      </c>
      <c r="AE3" s="13">
        <v>44731</v>
      </c>
      <c r="AF3" s="16" t="s">
        <v>59</v>
      </c>
      <c r="AG3" s="14" t="s">
        <v>60</v>
      </c>
      <c r="AH3" s="18" t="s">
        <v>61</v>
      </c>
      <c r="AI3" s="14" t="s">
        <v>62</v>
      </c>
      <c r="AJ3" s="6" t="s">
        <v>63</v>
      </c>
      <c r="AK3" s="6" t="s">
        <v>64</v>
      </c>
      <c r="AL3" s="6" t="s">
        <v>65</v>
      </c>
      <c r="AM3" s="19" t="s">
        <v>66</v>
      </c>
      <c r="AN3" s="19" t="s">
        <v>67</v>
      </c>
      <c r="AO3" s="19" t="s">
        <v>68</v>
      </c>
      <c r="AP3" s="4" t="s">
        <v>31</v>
      </c>
      <c r="AQ3" t="s">
        <v>47</v>
      </c>
    </row>
    <row r="4" spans="1:43" x14ac:dyDescent="0.35">
      <c r="A4" s="3">
        <f t="shared" si="0"/>
        <v>3</v>
      </c>
      <c r="B4" s="4" t="s">
        <v>23</v>
      </c>
      <c r="C4" s="5" t="s">
        <v>69</v>
      </c>
      <c r="D4" s="20" t="s">
        <v>70</v>
      </c>
      <c r="E4" s="4" t="s">
        <v>71</v>
      </c>
      <c r="F4" s="4" t="s">
        <v>72</v>
      </c>
      <c r="G4" s="6" t="s">
        <v>73</v>
      </c>
      <c r="H4" s="17" t="s">
        <v>74</v>
      </c>
      <c r="I4" s="17" t="s">
        <v>75</v>
      </c>
      <c r="J4" s="17" t="s">
        <v>75</v>
      </c>
      <c r="K4" s="7">
        <v>43137</v>
      </c>
      <c r="L4" s="7" t="str">
        <f t="shared" ca="1" si="1"/>
        <v>8 Years 1 Months</v>
      </c>
      <c r="M4" s="7" t="s">
        <v>31</v>
      </c>
      <c r="N4" s="7" t="s">
        <v>54</v>
      </c>
      <c r="O4" s="7" t="s">
        <v>31</v>
      </c>
      <c r="P4" s="6" t="s">
        <v>32</v>
      </c>
      <c r="Q4" s="6" t="s">
        <v>33</v>
      </c>
      <c r="R4" s="6" t="s">
        <v>76</v>
      </c>
      <c r="S4" s="4" t="s">
        <v>35</v>
      </c>
      <c r="T4" s="9" t="s">
        <v>1725</v>
      </c>
      <c r="U4" s="14" t="s">
        <v>77</v>
      </c>
      <c r="V4" s="4" t="s">
        <v>36</v>
      </c>
      <c r="W4" s="10">
        <v>30011</v>
      </c>
      <c r="X4" s="10" t="str">
        <f t="shared" ca="1" si="2"/>
        <v xml:space="preserve">44 Years </v>
      </c>
      <c r="Y4" s="6">
        <v>9810711633</v>
      </c>
      <c r="Z4" s="14" t="s">
        <v>78</v>
      </c>
      <c r="AA4" s="14" t="s">
        <v>79</v>
      </c>
      <c r="AB4" s="4" t="s">
        <v>80</v>
      </c>
      <c r="AC4" s="12">
        <v>100308475949</v>
      </c>
      <c r="AD4" s="4" t="s">
        <v>41</v>
      </c>
      <c r="AE4" s="13">
        <v>30012</v>
      </c>
      <c r="AF4" s="6" t="s">
        <v>81</v>
      </c>
      <c r="AG4" s="14" t="s">
        <v>82</v>
      </c>
      <c r="AH4" s="18" t="s">
        <v>83</v>
      </c>
      <c r="AI4" s="14" t="s">
        <v>84</v>
      </c>
      <c r="AJ4" s="6" t="s">
        <v>85</v>
      </c>
      <c r="AK4" s="6" t="s">
        <v>86</v>
      </c>
      <c r="AL4" s="6" t="s">
        <v>87</v>
      </c>
      <c r="AM4" s="19" t="s">
        <v>88</v>
      </c>
      <c r="AN4" s="21" t="s">
        <v>89</v>
      </c>
      <c r="AO4" s="19" t="s">
        <v>90</v>
      </c>
      <c r="AP4" s="4" t="s">
        <v>31</v>
      </c>
      <c r="AQ4" t="s">
        <v>47</v>
      </c>
    </row>
    <row r="5" spans="1:43" x14ac:dyDescent="0.35">
      <c r="A5" s="3">
        <f t="shared" si="0"/>
        <v>4</v>
      </c>
      <c r="B5" s="4" t="s">
        <v>23</v>
      </c>
      <c r="C5" s="5" t="s">
        <v>91</v>
      </c>
      <c r="D5" s="20" t="s">
        <v>92</v>
      </c>
      <c r="E5" s="4" t="s">
        <v>93</v>
      </c>
      <c r="F5" s="4" t="s">
        <v>94</v>
      </c>
      <c r="G5" s="6" t="s">
        <v>95</v>
      </c>
      <c r="H5" s="17" t="s">
        <v>96</v>
      </c>
      <c r="I5" s="17" t="s">
        <v>97</v>
      </c>
      <c r="J5" s="17" t="s">
        <v>97</v>
      </c>
      <c r="K5" s="7">
        <v>43282</v>
      </c>
      <c r="L5" s="7" t="str">
        <f t="shared" ca="1" si="1"/>
        <v>7 Years 8 Months</v>
      </c>
      <c r="M5" s="7" t="s">
        <v>31</v>
      </c>
      <c r="N5" s="7" t="s">
        <v>54</v>
      </c>
      <c r="O5" s="7" t="s">
        <v>31</v>
      </c>
      <c r="P5" s="6" t="s">
        <v>32</v>
      </c>
      <c r="Q5" s="6" t="s">
        <v>33</v>
      </c>
      <c r="R5" s="6" t="s">
        <v>98</v>
      </c>
      <c r="S5" s="4" t="s">
        <v>35</v>
      </c>
      <c r="T5" s="9" t="s">
        <v>1726</v>
      </c>
      <c r="U5" s="14" t="s">
        <v>99</v>
      </c>
      <c r="V5" s="4" t="s">
        <v>36</v>
      </c>
      <c r="W5" s="10">
        <v>33764</v>
      </c>
      <c r="X5" s="10" t="str">
        <f t="shared" ca="1" si="2"/>
        <v xml:space="preserve">33 Years </v>
      </c>
      <c r="Y5" s="6" t="s">
        <v>100</v>
      </c>
      <c r="Z5" s="14" t="s">
        <v>101</v>
      </c>
      <c r="AA5" s="14" t="s">
        <v>102</v>
      </c>
      <c r="AB5" s="4" t="s">
        <v>40</v>
      </c>
      <c r="AC5" s="12" t="s">
        <v>31</v>
      </c>
      <c r="AD5" s="4" t="s">
        <v>41</v>
      </c>
      <c r="AE5" s="13">
        <v>44174</v>
      </c>
      <c r="AF5" s="6" t="s">
        <v>103</v>
      </c>
      <c r="AG5" s="14" t="s">
        <v>31</v>
      </c>
      <c r="AH5" s="18" t="s">
        <v>104</v>
      </c>
      <c r="AI5" s="14" t="s">
        <v>105</v>
      </c>
      <c r="AJ5" s="6" t="s">
        <v>106</v>
      </c>
      <c r="AK5" s="6" t="s">
        <v>107</v>
      </c>
      <c r="AL5" s="6" t="s">
        <v>108</v>
      </c>
      <c r="AM5" s="19" t="s">
        <v>109</v>
      </c>
      <c r="AN5" s="21" t="s">
        <v>110</v>
      </c>
      <c r="AO5" s="19" t="s">
        <v>90</v>
      </c>
      <c r="AP5" s="4" t="s">
        <v>111</v>
      </c>
      <c r="AQ5" t="s">
        <v>47</v>
      </c>
    </row>
    <row r="6" spans="1:43" x14ac:dyDescent="0.35">
      <c r="A6" s="3">
        <f t="shared" si="0"/>
        <v>5</v>
      </c>
      <c r="B6" s="4" t="s">
        <v>23</v>
      </c>
      <c r="C6" s="5" t="s">
        <v>112</v>
      </c>
      <c r="D6" s="20" t="s">
        <v>113</v>
      </c>
      <c r="E6" s="4" t="s">
        <v>114</v>
      </c>
      <c r="F6" s="4" t="s">
        <v>115</v>
      </c>
      <c r="G6" s="6" t="s">
        <v>116</v>
      </c>
      <c r="H6" s="17" t="s">
        <v>117</v>
      </c>
      <c r="I6" s="17" t="s">
        <v>52</v>
      </c>
      <c r="J6" s="17" t="s">
        <v>53</v>
      </c>
      <c r="K6" s="7">
        <v>43525</v>
      </c>
      <c r="L6" s="7" t="str">
        <f t="shared" ca="1" si="1"/>
        <v>7 Years 0 Months</v>
      </c>
      <c r="M6" s="7" t="s">
        <v>31</v>
      </c>
      <c r="N6" s="7" t="s">
        <v>54</v>
      </c>
      <c r="O6" s="7" t="s">
        <v>31</v>
      </c>
      <c r="P6" s="6" t="s">
        <v>32</v>
      </c>
      <c r="Q6" s="6" t="s">
        <v>33</v>
      </c>
      <c r="R6" s="6" t="s">
        <v>118</v>
      </c>
      <c r="S6" s="4" t="s">
        <v>119</v>
      </c>
      <c r="T6" s="9" t="s">
        <v>1727</v>
      </c>
      <c r="U6" s="14" t="s">
        <v>120</v>
      </c>
      <c r="V6" s="4" t="s">
        <v>36</v>
      </c>
      <c r="W6" s="10">
        <v>32327</v>
      </c>
      <c r="X6" s="10" t="str">
        <f t="shared" ca="1" si="2"/>
        <v xml:space="preserve">37 Years </v>
      </c>
      <c r="Y6" s="6">
        <v>8794105634</v>
      </c>
      <c r="Z6" s="14" t="s">
        <v>121</v>
      </c>
      <c r="AA6" s="14" t="s">
        <v>122</v>
      </c>
      <c r="AB6" s="4" t="s">
        <v>40</v>
      </c>
      <c r="AC6" s="22" t="s">
        <v>31</v>
      </c>
      <c r="AD6" s="4" t="s">
        <v>123</v>
      </c>
      <c r="AE6" s="13" t="s">
        <v>31</v>
      </c>
      <c r="AF6" s="16" t="s">
        <v>124</v>
      </c>
      <c r="AG6" s="14" t="s">
        <v>125</v>
      </c>
      <c r="AH6" s="18">
        <v>20114053024</v>
      </c>
      <c r="AI6" s="14" t="s">
        <v>126</v>
      </c>
      <c r="AJ6" s="6" t="s">
        <v>106</v>
      </c>
      <c r="AK6" s="6" t="s">
        <v>127</v>
      </c>
      <c r="AL6" s="6" t="s">
        <v>128</v>
      </c>
      <c r="AM6" s="19" t="s">
        <v>129</v>
      </c>
      <c r="AN6" s="21" t="s">
        <v>130</v>
      </c>
      <c r="AO6" s="19" t="s">
        <v>68</v>
      </c>
      <c r="AP6" s="4" t="s">
        <v>31</v>
      </c>
      <c r="AQ6" t="s">
        <v>47</v>
      </c>
    </row>
    <row r="7" spans="1:43" x14ac:dyDescent="0.35">
      <c r="A7" s="3">
        <f t="shared" si="0"/>
        <v>6</v>
      </c>
      <c r="B7" s="4" t="s">
        <v>23</v>
      </c>
      <c r="C7" s="5" t="s">
        <v>131</v>
      </c>
      <c r="D7" s="20" t="s">
        <v>132</v>
      </c>
      <c r="E7" s="4" t="s">
        <v>132</v>
      </c>
      <c r="F7" s="4"/>
      <c r="G7" s="6" t="s">
        <v>133</v>
      </c>
      <c r="H7" s="17" t="s">
        <v>117</v>
      </c>
      <c r="I7" s="17" t="s">
        <v>52</v>
      </c>
      <c r="J7" s="20" t="s">
        <v>113</v>
      </c>
      <c r="K7" s="7">
        <v>43525</v>
      </c>
      <c r="L7" s="7" t="str">
        <f t="shared" ca="1" si="1"/>
        <v>7 Years 0 Months</v>
      </c>
      <c r="M7" s="7" t="s">
        <v>31</v>
      </c>
      <c r="N7" s="7" t="s">
        <v>54</v>
      </c>
      <c r="O7" s="7" t="s">
        <v>31</v>
      </c>
      <c r="P7" s="6" t="s">
        <v>32</v>
      </c>
      <c r="Q7" s="6" t="s">
        <v>33</v>
      </c>
      <c r="R7" s="6" t="s">
        <v>134</v>
      </c>
      <c r="S7" s="4" t="s">
        <v>119</v>
      </c>
      <c r="T7" s="9" t="s">
        <v>1728</v>
      </c>
      <c r="U7" s="14" t="s">
        <v>135</v>
      </c>
      <c r="V7" s="4" t="s">
        <v>36</v>
      </c>
      <c r="W7" s="10">
        <v>34161</v>
      </c>
      <c r="X7" s="10" t="str">
        <f t="shared" ca="1" si="2"/>
        <v xml:space="preserve">32 Years </v>
      </c>
      <c r="Y7" s="6">
        <v>8575178864</v>
      </c>
      <c r="Z7" s="14" t="s">
        <v>136</v>
      </c>
      <c r="AA7" s="14" t="s">
        <v>137</v>
      </c>
      <c r="AB7" s="4" t="s">
        <v>40</v>
      </c>
      <c r="AC7" s="22" t="s">
        <v>31</v>
      </c>
      <c r="AD7" s="4" t="s">
        <v>41</v>
      </c>
      <c r="AE7" s="13">
        <v>42713</v>
      </c>
      <c r="AF7" s="16" t="s">
        <v>138</v>
      </c>
      <c r="AG7" s="14" t="s">
        <v>31</v>
      </c>
      <c r="AH7" s="18">
        <v>32647315678</v>
      </c>
      <c r="AI7" s="14" t="s">
        <v>139</v>
      </c>
      <c r="AJ7" s="6" t="s">
        <v>63</v>
      </c>
      <c r="AK7" s="6" t="s">
        <v>140</v>
      </c>
      <c r="AL7" s="6" t="s">
        <v>141</v>
      </c>
      <c r="AM7" s="19" t="s">
        <v>142</v>
      </c>
      <c r="AN7" s="21" t="s">
        <v>143</v>
      </c>
      <c r="AO7" s="19" t="s">
        <v>90</v>
      </c>
      <c r="AP7" s="4" t="s">
        <v>31</v>
      </c>
      <c r="AQ7" t="s">
        <v>47</v>
      </c>
    </row>
    <row r="8" spans="1:43" x14ac:dyDescent="0.35">
      <c r="A8" s="3">
        <f t="shared" si="0"/>
        <v>7</v>
      </c>
      <c r="B8" s="4" t="s">
        <v>23</v>
      </c>
      <c r="C8" s="23" t="s">
        <v>144</v>
      </c>
      <c r="D8" s="20" t="s">
        <v>145</v>
      </c>
      <c r="E8" s="4" t="s">
        <v>146</v>
      </c>
      <c r="F8" s="4" t="s">
        <v>147</v>
      </c>
      <c r="G8" s="6" t="s">
        <v>148</v>
      </c>
      <c r="H8" s="24" t="s">
        <v>149</v>
      </c>
      <c r="I8" s="24" t="s">
        <v>150</v>
      </c>
      <c r="J8" s="24" t="s">
        <v>151</v>
      </c>
      <c r="K8" s="7">
        <v>44440</v>
      </c>
      <c r="L8" s="7" t="str">
        <f ca="1">IF(M8="","",DATEDIF(M8,TODAY(),"Y")&amp;" Years "&amp; DATEDIF(M8,TODAY(),"YM")&amp;" Months")</f>
        <v>6 Years 7 Months</v>
      </c>
      <c r="M8" s="25">
        <v>43678</v>
      </c>
      <c r="N8" s="7" t="s">
        <v>54</v>
      </c>
      <c r="O8" s="7" t="s">
        <v>31</v>
      </c>
      <c r="P8" s="6" t="s">
        <v>32</v>
      </c>
      <c r="Q8" s="6" t="s">
        <v>33</v>
      </c>
      <c r="R8" s="6" t="s">
        <v>152</v>
      </c>
      <c r="S8" s="26" t="s">
        <v>153</v>
      </c>
      <c r="T8" s="9" t="s">
        <v>1729</v>
      </c>
      <c r="U8" s="14" t="s">
        <v>154</v>
      </c>
      <c r="V8" s="4" t="s">
        <v>36</v>
      </c>
      <c r="W8" s="10">
        <v>32124</v>
      </c>
      <c r="X8" s="10" t="str">
        <f t="shared" ca="1" si="2"/>
        <v xml:space="preserve">38 Years </v>
      </c>
      <c r="Y8" s="6">
        <v>7005000195</v>
      </c>
      <c r="Z8" s="14" t="s">
        <v>155</v>
      </c>
      <c r="AA8" s="14" t="s">
        <v>156</v>
      </c>
      <c r="AB8" s="4" t="s">
        <v>40</v>
      </c>
      <c r="AC8" s="27" t="s">
        <v>31</v>
      </c>
      <c r="AD8" s="4" t="s">
        <v>41</v>
      </c>
      <c r="AE8" s="13" t="s">
        <v>157</v>
      </c>
      <c r="AF8" s="6" t="s">
        <v>59</v>
      </c>
      <c r="AG8" s="14" t="s">
        <v>158</v>
      </c>
      <c r="AH8" s="18" t="s">
        <v>159</v>
      </c>
      <c r="AI8" s="14" t="s">
        <v>160</v>
      </c>
      <c r="AJ8" s="6" t="s">
        <v>161</v>
      </c>
      <c r="AK8" s="6" t="s">
        <v>162</v>
      </c>
      <c r="AL8" s="6" t="s">
        <v>163</v>
      </c>
      <c r="AM8" s="19">
        <v>7005078808</v>
      </c>
      <c r="AN8" s="21" t="s">
        <v>164</v>
      </c>
      <c r="AO8" s="19" t="s">
        <v>90</v>
      </c>
      <c r="AP8" s="4" t="s">
        <v>31</v>
      </c>
      <c r="AQ8" t="s">
        <v>47</v>
      </c>
    </row>
    <row r="9" spans="1:43" x14ac:dyDescent="0.35">
      <c r="A9" s="3">
        <f t="shared" si="0"/>
        <v>8</v>
      </c>
      <c r="B9" s="4" t="s">
        <v>23</v>
      </c>
      <c r="C9" s="5" t="s">
        <v>165</v>
      </c>
      <c r="D9" s="20" t="s">
        <v>166</v>
      </c>
      <c r="E9" s="4" t="s">
        <v>167</v>
      </c>
      <c r="F9" s="4" t="s">
        <v>168</v>
      </c>
      <c r="G9" s="6" t="s">
        <v>169</v>
      </c>
      <c r="H9" s="24" t="s">
        <v>170</v>
      </c>
      <c r="I9" s="24" t="s">
        <v>171</v>
      </c>
      <c r="J9" s="24" t="s">
        <v>171</v>
      </c>
      <c r="K9" s="7">
        <v>43838</v>
      </c>
      <c r="L9" s="7" t="str">
        <f t="shared" ref="L9:L72" ca="1" si="3">IF(K9="","",DATEDIF(K9,TODAY(),"Y")&amp;" Years "&amp; DATEDIF(K9,TODAY(),"YM")&amp;" Months")</f>
        <v>6 Years 2 Months</v>
      </c>
      <c r="M9" s="7" t="s">
        <v>31</v>
      </c>
      <c r="N9" s="7" t="s">
        <v>54</v>
      </c>
      <c r="O9" s="7" t="s">
        <v>31</v>
      </c>
      <c r="P9" s="6" t="s">
        <v>32</v>
      </c>
      <c r="Q9" s="6" t="s">
        <v>33</v>
      </c>
      <c r="R9" s="6" t="s">
        <v>172</v>
      </c>
      <c r="S9" s="4" t="s">
        <v>35</v>
      </c>
      <c r="T9" s="9" t="s">
        <v>1730</v>
      </c>
      <c r="U9" s="14" t="s">
        <v>173</v>
      </c>
      <c r="V9" s="4" t="s">
        <v>36</v>
      </c>
      <c r="W9" s="10">
        <v>33829</v>
      </c>
      <c r="X9" s="10" t="str">
        <f t="shared" ca="1" si="2"/>
        <v xml:space="preserve">33 Years </v>
      </c>
      <c r="Y9" s="6">
        <v>7988717428</v>
      </c>
      <c r="Z9" s="14" t="s">
        <v>174</v>
      </c>
      <c r="AA9" s="14" t="s">
        <v>175</v>
      </c>
      <c r="AB9" s="4" t="s">
        <v>80</v>
      </c>
      <c r="AC9" s="22">
        <v>100555305322</v>
      </c>
      <c r="AD9" s="4" t="s">
        <v>41</v>
      </c>
      <c r="AE9" s="13">
        <v>44528</v>
      </c>
      <c r="AF9" s="14" t="s">
        <v>59</v>
      </c>
      <c r="AG9" s="14" t="s">
        <v>82</v>
      </c>
      <c r="AH9" s="18" t="s">
        <v>176</v>
      </c>
      <c r="AI9" s="14" t="s">
        <v>177</v>
      </c>
      <c r="AJ9" s="6" t="s">
        <v>85</v>
      </c>
      <c r="AK9" s="6" t="s">
        <v>178</v>
      </c>
      <c r="AL9" s="6" t="s">
        <v>179</v>
      </c>
      <c r="AM9" s="19" t="s">
        <v>180</v>
      </c>
      <c r="AN9" s="21" t="s">
        <v>172</v>
      </c>
      <c r="AO9" s="19" t="s">
        <v>181</v>
      </c>
      <c r="AP9" s="4" t="s">
        <v>31</v>
      </c>
      <c r="AQ9" t="s">
        <v>47</v>
      </c>
    </row>
    <row r="10" spans="1:43" x14ac:dyDescent="0.35">
      <c r="A10" s="3">
        <f t="shared" si="0"/>
        <v>9</v>
      </c>
      <c r="B10" s="4" t="s">
        <v>23</v>
      </c>
      <c r="C10" s="5" t="s">
        <v>182</v>
      </c>
      <c r="D10" s="20" t="s">
        <v>53</v>
      </c>
      <c r="E10" s="4" t="s">
        <v>183</v>
      </c>
      <c r="F10" s="4" t="s">
        <v>184</v>
      </c>
      <c r="G10" s="6" t="s">
        <v>185</v>
      </c>
      <c r="H10" s="24" t="s">
        <v>186</v>
      </c>
      <c r="I10" s="24" t="s">
        <v>52</v>
      </c>
      <c r="J10" s="24" t="s">
        <v>52</v>
      </c>
      <c r="K10" s="7">
        <v>43852</v>
      </c>
      <c r="L10" s="7" t="str">
        <f t="shared" ca="1" si="3"/>
        <v>6 Years 2 Months</v>
      </c>
      <c r="M10" s="7" t="s">
        <v>31</v>
      </c>
      <c r="N10" s="7" t="s">
        <v>54</v>
      </c>
      <c r="O10" s="7" t="s">
        <v>31</v>
      </c>
      <c r="P10" s="6" t="s">
        <v>32</v>
      </c>
      <c r="Q10" s="6" t="s">
        <v>33</v>
      </c>
      <c r="R10" s="6" t="s">
        <v>187</v>
      </c>
      <c r="S10" s="4" t="s">
        <v>35</v>
      </c>
      <c r="T10" s="9" t="s">
        <v>1731</v>
      </c>
      <c r="U10" s="14" t="s">
        <v>188</v>
      </c>
      <c r="V10" s="4" t="s">
        <v>36</v>
      </c>
      <c r="W10" s="10">
        <v>29373</v>
      </c>
      <c r="X10" s="10" t="str">
        <f t="shared" ca="1" si="2"/>
        <v xml:space="preserve">45 Years </v>
      </c>
      <c r="Y10" s="6" t="s">
        <v>189</v>
      </c>
      <c r="Z10" s="28" t="s">
        <v>190</v>
      </c>
      <c r="AA10" s="14" t="s">
        <v>191</v>
      </c>
      <c r="AB10" s="4" t="s">
        <v>80</v>
      </c>
      <c r="AC10" s="22">
        <v>100244286145</v>
      </c>
      <c r="AD10" s="4" t="s">
        <v>41</v>
      </c>
      <c r="AE10" s="13">
        <v>38493</v>
      </c>
      <c r="AF10" s="14" t="s">
        <v>192</v>
      </c>
      <c r="AG10" s="14" t="s">
        <v>193</v>
      </c>
      <c r="AH10" s="18" t="s">
        <v>194</v>
      </c>
      <c r="AI10" s="14" t="s">
        <v>195</v>
      </c>
      <c r="AJ10" s="6" t="s">
        <v>161</v>
      </c>
      <c r="AK10" s="6" t="s">
        <v>196</v>
      </c>
      <c r="AL10" s="6" t="s">
        <v>197</v>
      </c>
      <c r="AM10" s="19" t="s">
        <v>198</v>
      </c>
      <c r="AN10" s="21" t="s">
        <v>199</v>
      </c>
      <c r="AO10" s="19" t="s">
        <v>90</v>
      </c>
      <c r="AP10" s="4" t="s">
        <v>31</v>
      </c>
      <c r="AQ10" t="s">
        <v>47</v>
      </c>
    </row>
    <row r="11" spans="1:43" x14ac:dyDescent="0.35">
      <c r="A11" s="3">
        <f t="shared" si="0"/>
        <v>10</v>
      </c>
      <c r="B11" s="4" t="s">
        <v>23</v>
      </c>
      <c r="C11" s="5" t="s">
        <v>200</v>
      </c>
      <c r="D11" s="14" t="s">
        <v>201</v>
      </c>
      <c r="E11" s="4" t="s">
        <v>202</v>
      </c>
      <c r="F11" s="4" t="s">
        <v>72</v>
      </c>
      <c r="G11" s="6" t="s">
        <v>203</v>
      </c>
      <c r="H11" s="17" t="s">
        <v>74</v>
      </c>
      <c r="I11" s="24" t="s">
        <v>75</v>
      </c>
      <c r="J11" s="20" t="s">
        <v>204</v>
      </c>
      <c r="K11" s="7">
        <v>43852</v>
      </c>
      <c r="L11" s="7" t="str">
        <f t="shared" ca="1" si="3"/>
        <v>6 Years 2 Months</v>
      </c>
      <c r="M11" s="7" t="s">
        <v>31</v>
      </c>
      <c r="N11" s="7" t="s">
        <v>11</v>
      </c>
      <c r="O11" s="7" t="s">
        <v>205</v>
      </c>
      <c r="P11" s="6" t="s">
        <v>32</v>
      </c>
      <c r="Q11" s="6" t="s">
        <v>33</v>
      </c>
      <c r="R11" s="6" t="s">
        <v>206</v>
      </c>
      <c r="S11" s="4" t="s">
        <v>35</v>
      </c>
      <c r="T11" s="9" t="s">
        <v>1732</v>
      </c>
      <c r="U11" s="14" t="s">
        <v>207</v>
      </c>
      <c r="V11" s="4" t="s">
        <v>36</v>
      </c>
      <c r="W11" s="10">
        <v>33363</v>
      </c>
      <c r="X11" s="10" t="str">
        <f t="shared" ca="1" si="2"/>
        <v xml:space="preserve">34 Years </v>
      </c>
      <c r="Y11" s="6">
        <v>8882203226</v>
      </c>
      <c r="Z11" s="14" t="s">
        <v>208</v>
      </c>
      <c r="AA11" s="14" t="s">
        <v>209</v>
      </c>
      <c r="AB11" s="4" t="s">
        <v>40</v>
      </c>
      <c r="AC11" s="22" t="s">
        <v>31</v>
      </c>
      <c r="AD11" s="4" t="s">
        <v>41</v>
      </c>
      <c r="AE11" s="13" t="s">
        <v>157</v>
      </c>
      <c r="AF11" s="6" t="s">
        <v>210</v>
      </c>
      <c r="AG11" s="14" t="s">
        <v>60</v>
      </c>
      <c r="AH11" s="18" t="s">
        <v>211</v>
      </c>
      <c r="AI11" s="14" t="s">
        <v>62</v>
      </c>
      <c r="AJ11" s="6" t="s">
        <v>85</v>
      </c>
      <c r="AK11" s="6" t="s">
        <v>212</v>
      </c>
      <c r="AL11" s="6" t="s">
        <v>213</v>
      </c>
      <c r="AM11" s="19" t="s">
        <v>214</v>
      </c>
      <c r="AN11" s="21" t="s">
        <v>215</v>
      </c>
      <c r="AO11" s="19" t="s">
        <v>90</v>
      </c>
      <c r="AP11" s="4" t="s">
        <v>31</v>
      </c>
      <c r="AQ11" t="s">
        <v>47</v>
      </c>
    </row>
    <row r="12" spans="1:43" x14ac:dyDescent="0.35">
      <c r="A12" s="3">
        <f t="shared" si="0"/>
        <v>11</v>
      </c>
      <c r="B12" s="4" t="s">
        <v>23</v>
      </c>
      <c r="C12" s="5" t="s">
        <v>216</v>
      </c>
      <c r="D12" s="20" t="s">
        <v>217</v>
      </c>
      <c r="E12" s="4" t="s">
        <v>218</v>
      </c>
      <c r="F12" s="4" t="s">
        <v>219</v>
      </c>
      <c r="G12" s="6" t="s">
        <v>220</v>
      </c>
      <c r="H12" s="17" t="s">
        <v>74</v>
      </c>
      <c r="I12" s="17" t="s">
        <v>75</v>
      </c>
      <c r="J12" s="17" t="s">
        <v>70</v>
      </c>
      <c r="K12" s="7">
        <v>44486</v>
      </c>
      <c r="L12" s="7" t="str">
        <f t="shared" ca="1" si="3"/>
        <v>4 Years 5 Months</v>
      </c>
      <c r="M12" s="7" t="s">
        <v>31</v>
      </c>
      <c r="N12" s="7" t="s">
        <v>31</v>
      </c>
      <c r="O12" s="7" t="s">
        <v>31</v>
      </c>
      <c r="P12" s="6" t="s">
        <v>32</v>
      </c>
      <c r="Q12" s="6" t="s">
        <v>33</v>
      </c>
      <c r="R12" s="6" t="s">
        <v>221</v>
      </c>
      <c r="S12" s="4" t="s">
        <v>35</v>
      </c>
      <c r="T12" s="29" t="s">
        <v>1733</v>
      </c>
      <c r="U12" s="14" t="s">
        <v>222</v>
      </c>
      <c r="V12" s="4" t="s">
        <v>36</v>
      </c>
      <c r="W12" s="10">
        <v>31929</v>
      </c>
      <c r="X12" s="10" t="str">
        <f t="shared" ca="1" si="2"/>
        <v xml:space="preserve">38 Years </v>
      </c>
      <c r="Y12" s="6">
        <v>8527468327</v>
      </c>
      <c r="Z12" s="14" t="s">
        <v>223</v>
      </c>
      <c r="AA12" s="14" t="s">
        <v>224</v>
      </c>
      <c r="AB12" s="4" t="s">
        <v>40</v>
      </c>
      <c r="AC12" s="22" t="s">
        <v>31</v>
      </c>
      <c r="AD12" s="4" t="s">
        <v>41</v>
      </c>
      <c r="AE12" s="13" t="s">
        <v>157</v>
      </c>
      <c r="AF12" s="6" t="s">
        <v>225</v>
      </c>
      <c r="AG12" s="14" t="s">
        <v>60</v>
      </c>
      <c r="AH12" s="18" t="s">
        <v>226</v>
      </c>
      <c r="AI12" s="14" t="s">
        <v>62</v>
      </c>
      <c r="AJ12" s="6" t="s">
        <v>85</v>
      </c>
      <c r="AK12" s="6" t="s">
        <v>227</v>
      </c>
      <c r="AL12" s="6" t="s">
        <v>228</v>
      </c>
      <c r="AM12" s="19" t="s">
        <v>229</v>
      </c>
      <c r="AN12" s="21" t="s">
        <v>230</v>
      </c>
      <c r="AO12" s="19" t="s">
        <v>90</v>
      </c>
      <c r="AP12" s="4" t="s">
        <v>31</v>
      </c>
      <c r="AQ12" t="s">
        <v>47</v>
      </c>
    </row>
    <row r="13" spans="1:43" x14ac:dyDescent="0.35">
      <c r="A13" s="3">
        <f t="shared" si="0"/>
        <v>12</v>
      </c>
      <c r="B13" s="4" t="s">
        <v>23</v>
      </c>
      <c r="C13" s="5" t="s">
        <v>231</v>
      </c>
      <c r="D13" s="20" t="s">
        <v>232</v>
      </c>
      <c r="E13" s="4" t="s">
        <v>233</v>
      </c>
      <c r="F13" s="4" t="s">
        <v>234</v>
      </c>
      <c r="G13" s="6" t="s">
        <v>235</v>
      </c>
      <c r="H13" s="17" t="s">
        <v>117</v>
      </c>
      <c r="I13" s="17" t="s">
        <v>52</v>
      </c>
      <c r="J13" s="17" t="s">
        <v>53</v>
      </c>
      <c r="K13" s="7">
        <v>44511</v>
      </c>
      <c r="L13" s="7" t="str">
        <f t="shared" ca="1" si="3"/>
        <v>4 Years 4 Months</v>
      </c>
      <c r="M13" s="7" t="s">
        <v>31</v>
      </c>
      <c r="N13" s="7" t="s">
        <v>31</v>
      </c>
      <c r="O13" s="7" t="s">
        <v>31</v>
      </c>
      <c r="P13" s="6" t="s">
        <v>32</v>
      </c>
      <c r="Q13" s="6" t="s">
        <v>33</v>
      </c>
      <c r="R13" s="6" t="s">
        <v>236</v>
      </c>
      <c r="S13" s="4" t="s">
        <v>237</v>
      </c>
      <c r="T13" s="29" t="s">
        <v>1734</v>
      </c>
      <c r="U13" s="14" t="s">
        <v>238</v>
      </c>
      <c r="V13" s="4" t="s">
        <v>36</v>
      </c>
      <c r="W13" s="10">
        <v>30803</v>
      </c>
      <c r="X13" s="10" t="str">
        <f t="shared" ca="1" si="2"/>
        <v xml:space="preserve">41 Years </v>
      </c>
      <c r="Y13" s="6">
        <v>7799574691</v>
      </c>
      <c r="Z13" s="14" t="s">
        <v>239</v>
      </c>
      <c r="AA13" s="14" t="s">
        <v>240</v>
      </c>
      <c r="AB13" s="4" t="s">
        <v>80</v>
      </c>
      <c r="AC13" s="12">
        <v>101511066228</v>
      </c>
      <c r="AD13" s="4" t="s">
        <v>41</v>
      </c>
      <c r="AE13" s="13">
        <v>42680</v>
      </c>
      <c r="AF13" s="16" t="s">
        <v>210</v>
      </c>
      <c r="AG13" s="14" t="s">
        <v>60</v>
      </c>
      <c r="AH13" s="18" t="s">
        <v>241</v>
      </c>
      <c r="AI13" s="14" t="s">
        <v>242</v>
      </c>
      <c r="AJ13" s="6" t="s">
        <v>63</v>
      </c>
      <c r="AK13" s="6" t="s">
        <v>243</v>
      </c>
      <c r="AL13" s="6" t="s">
        <v>244</v>
      </c>
      <c r="AM13" s="19" t="s">
        <v>245</v>
      </c>
      <c r="AN13" s="21" t="s">
        <v>246</v>
      </c>
      <c r="AO13" s="19" t="s">
        <v>90</v>
      </c>
      <c r="AP13" s="4" t="s">
        <v>31</v>
      </c>
      <c r="AQ13" t="s">
        <v>47</v>
      </c>
    </row>
    <row r="14" spans="1:43" x14ac:dyDescent="0.35">
      <c r="A14" s="3">
        <f t="shared" si="0"/>
        <v>13</v>
      </c>
      <c r="B14" s="4" t="s">
        <v>23</v>
      </c>
      <c r="C14" s="5" t="s">
        <v>247</v>
      </c>
      <c r="D14" s="14" t="s">
        <v>248</v>
      </c>
      <c r="E14" s="4" t="s">
        <v>249</v>
      </c>
      <c r="F14" s="4" t="s">
        <v>250</v>
      </c>
      <c r="G14" s="6" t="s">
        <v>251</v>
      </c>
      <c r="H14" s="17" t="s">
        <v>117</v>
      </c>
      <c r="I14" s="17" t="s">
        <v>52</v>
      </c>
      <c r="J14" s="20" t="s">
        <v>252</v>
      </c>
      <c r="K14" s="7">
        <v>44520</v>
      </c>
      <c r="L14" s="7" t="str">
        <f t="shared" ca="1" si="3"/>
        <v>4 Years 4 Months</v>
      </c>
      <c r="M14" s="7" t="s">
        <v>31</v>
      </c>
      <c r="N14" s="7" t="s">
        <v>31</v>
      </c>
      <c r="O14" s="7" t="s">
        <v>31</v>
      </c>
      <c r="P14" s="6" t="s">
        <v>32</v>
      </c>
      <c r="Q14" s="6" t="s">
        <v>33</v>
      </c>
      <c r="R14" s="30" t="s">
        <v>253</v>
      </c>
      <c r="S14" s="4" t="s">
        <v>254</v>
      </c>
      <c r="T14" s="29" t="s">
        <v>1735</v>
      </c>
      <c r="U14" s="14" t="s">
        <v>255</v>
      </c>
      <c r="V14" s="4" t="s">
        <v>36</v>
      </c>
      <c r="W14" s="10">
        <v>35292</v>
      </c>
      <c r="X14" s="10" t="str">
        <f t="shared" ca="1" si="2"/>
        <v xml:space="preserve">29 Years </v>
      </c>
      <c r="Y14" s="6">
        <v>8116644827</v>
      </c>
      <c r="Z14" s="14" t="s">
        <v>256</v>
      </c>
      <c r="AA14" s="14" t="s">
        <v>257</v>
      </c>
      <c r="AB14" s="4" t="s">
        <v>40</v>
      </c>
      <c r="AC14" s="27" t="s">
        <v>31</v>
      </c>
      <c r="AD14" s="4" t="s">
        <v>41</v>
      </c>
      <c r="AE14" s="13">
        <v>45636</v>
      </c>
      <c r="AF14" s="14" t="s">
        <v>59</v>
      </c>
      <c r="AG14" s="14" t="s">
        <v>60</v>
      </c>
      <c r="AH14" s="18" t="s">
        <v>258</v>
      </c>
      <c r="AI14" s="14" t="s">
        <v>259</v>
      </c>
      <c r="AJ14" s="6" t="s">
        <v>85</v>
      </c>
      <c r="AK14" s="6" t="s">
        <v>260</v>
      </c>
      <c r="AL14" s="6" t="s">
        <v>261</v>
      </c>
      <c r="AM14" s="19" t="s">
        <v>262</v>
      </c>
      <c r="AN14" s="21" t="s">
        <v>263</v>
      </c>
      <c r="AO14" s="19" t="s">
        <v>264</v>
      </c>
      <c r="AP14" s="4" t="s">
        <v>31</v>
      </c>
      <c r="AQ14" t="s">
        <v>47</v>
      </c>
    </row>
    <row r="15" spans="1:43" x14ac:dyDescent="0.35">
      <c r="A15" s="3">
        <f t="shared" si="0"/>
        <v>14</v>
      </c>
      <c r="B15" s="4" t="s">
        <v>23</v>
      </c>
      <c r="C15" s="31" t="s">
        <v>265</v>
      </c>
      <c r="D15" s="20" t="s">
        <v>252</v>
      </c>
      <c r="E15" s="4" t="s">
        <v>266</v>
      </c>
      <c r="F15" s="4" t="s">
        <v>267</v>
      </c>
      <c r="G15" s="6" t="s">
        <v>268</v>
      </c>
      <c r="H15" s="17" t="s">
        <v>117</v>
      </c>
      <c r="I15" s="17" t="s">
        <v>52</v>
      </c>
      <c r="J15" s="17" t="s">
        <v>53</v>
      </c>
      <c r="K15" s="32">
        <v>44562</v>
      </c>
      <c r="L15" s="7" t="str">
        <f t="shared" ca="1" si="3"/>
        <v>4 Years 2 Months</v>
      </c>
      <c r="M15" s="32">
        <v>43991</v>
      </c>
      <c r="N15" s="7" t="s">
        <v>31</v>
      </c>
      <c r="O15" s="7" t="s">
        <v>31</v>
      </c>
      <c r="P15" s="6" t="s">
        <v>32</v>
      </c>
      <c r="Q15" s="6" t="s">
        <v>33</v>
      </c>
      <c r="R15" s="6" t="s">
        <v>269</v>
      </c>
      <c r="S15" s="4" t="s">
        <v>254</v>
      </c>
      <c r="T15" s="9" t="s">
        <v>1736</v>
      </c>
      <c r="U15" s="14" t="s">
        <v>270</v>
      </c>
      <c r="V15" s="4" t="s">
        <v>36</v>
      </c>
      <c r="W15" s="10">
        <v>30742</v>
      </c>
      <c r="X15" s="10" t="str">
        <f t="shared" ca="1" si="2"/>
        <v xml:space="preserve">42 Years </v>
      </c>
      <c r="Y15" s="6">
        <v>9862083764</v>
      </c>
      <c r="Z15" s="14" t="s">
        <v>271</v>
      </c>
      <c r="AA15" s="14" t="s">
        <v>272</v>
      </c>
      <c r="AB15" s="4" t="s">
        <v>80</v>
      </c>
      <c r="AC15" s="12">
        <v>100218137805</v>
      </c>
      <c r="AD15" s="4" t="s">
        <v>41</v>
      </c>
      <c r="AE15" s="13">
        <v>39881</v>
      </c>
      <c r="AF15" s="16" t="s">
        <v>210</v>
      </c>
      <c r="AG15" s="14" t="s">
        <v>60</v>
      </c>
      <c r="AH15" s="18" t="s">
        <v>273</v>
      </c>
      <c r="AI15" s="14" t="s">
        <v>274</v>
      </c>
      <c r="AJ15" s="6" t="s">
        <v>106</v>
      </c>
      <c r="AK15" s="6" t="s">
        <v>275</v>
      </c>
      <c r="AL15" s="6" t="s">
        <v>276</v>
      </c>
      <c r="AM15" s="19" t="s">
        <v>277</v>
      </c>
      <c r="AN15" s="21" t="s">
        <v>278</v>
      </c>
      <c r="AO15" s="19" t="s">
        <v>90</v>
      </c>
      <c r="AP15" s="4" t="s">
        <v>31</v>
      </c>
      <c r="AQ15" t="s">
        <v>47</v>
      </c>
    </row>
    <row r="16" spans="1:43" x14ac:dyDescent="0.35">
      <c r="A16" s="3">
        <f t="shared" si="0"/>
        <v>15</v>
      </c>
      <c r="B16" s="4" t="s">
        <v>23</v>
      </c>
      <c r="C16" s="31" t="s">
        <v>279</v>
      </c>
      <c r="D16" s="20" t="s">
        <v>280</v>
      </c>
      <c r="E16" s="4" t="s">
        <v>281</v>
      </c>
      <c r="F16" s="4" t="s">
        <v>282</v>
      </c>
      <c r="G16" s="6" t="s">
        <v>283</v>
      </c>
      <c r="H16" s="17" t="s">
        <v>149</v>
      </c>
      <c r="I16" s="17" t="s">
        <v>150</v>
      </c>
      <c r="J16" s="24" t="s">
        <v>171</v>
      </c>
      <c r="K16" s="32">
        <v>44562</v>
      </c>
      <c r="L16" s="7" t="str">
        <f t="shared" ca="1" si="3"/>
        <v>4 Years 2 Months</v>
      </c>
      <c r="M16" s="32">
        <v>44134</v>
      </c>
      <c r="N16" s="7" t="s">
        <v>31</v>
      </c>
      <c r="O16" s="7" t="s">
        <v>31</v>
      </c>
      <c r="P16" s="6" t="s">
        <v>32</v>
      </c>
      <c r="Q16" s="6" t="s">
        <v>33</v>
      </c>
      <c r="R16" s="6" t="s">
        <v>284</v>
      </c>
      <c r="S16" s="4" t="s">
        <v>153</v>
      </c>
      <c r="T16" s="29" t="s">
        <v>1737</v>
      </c>
      <c r="U16" s="14" t="s">
        <v>285</v>
      </c>
      <c r="V16" s="4" t="s">
        <v>36</v>
      </c>
      <c r="W16" s="10">
        <v>32081</v>
      </c>
      <c r="X16" s="10" t="str">
        <f t="shared" ca="1" si="2"/>
        <v xml:space="preserve">38 Years </v>
      </c>
      <c r="Y16" s="6">
        <v>7002799177</v>
      </c>
      <c r="Z16" s="14" t="s">
        <v>286</v>
      </c>
      <c r="AA16" s="14" t="s">
        <v>287</v>
      </c>
      <c r="AB16" s="4" t="s">
        <v>40</v>
      </c>
      <c r="AC16" s="27" t="s">
        <v>31</v>
      </c>
      <c r="AD16" s="4" t="s">
        <v>41</v>
      </c>
      <c r="AE16" s="13">
        <v>44543</v>
      </c>
      <c r="AF16" s="16" t="s">
        <v>288</v>
      </c>
      <c r="AG16" s="14" t="s">
        <v>31</v>
      </c>
      <c r="AH16" s="18" t="s">
        <v>289</v>
      </c>
      <c r="AI16" s="14" t="s">
        <v>290</v>
      </c>
      <c r="AJ16" s="6" t="s">
        <v>63</v>
      </c>
      <c r="AK16" s="6" t="s">
        <v>291</v>
      </c>
      <c r="AL16" s="6" t="s">
        <v>292</v>
      </c>
      <c r="AM16" s="19" t="s">
        <v>293</v>
      </c>
      <c r="AN16" s="21" t="s">
        <v>294</v>
      </c>
      <c r="AO16" s="19" t="s">
        <v>90</v>
      </c>
      <c r="AP16" s="4" t="s">
        <v>31</v>
      </c>
      <c r="AQ16" t="s">
        <v>47</v>
      </c>
    </row>
    <row r="17" spans="1:43" x14ac:dyDescent="0.35">
      <c r="A17" s="3">
        <f t="shared" si="0"/>
        <v>16</v>
      </c>
      <c r="B17" s="4" t="s">
        <v>23</v>
      </c>
      <c r="C17" s="5" t="s">
        <v>295</v>
      </c>
      <c r="D17" s="20" t="s">
        <v>296</v>
      </c>
      <c r="E17" s="4" t="s">
        <v>183</v>
      </c>
      <c r="F17" s="4" t="s">
        <v>297</v>
      </c>
      <c r="G17" s="6" t="s">
        <v>251</v>
      </c>
      <c r="H17" s="17" t="s">
        <v>117</v>
      </c>
      <c r="I17" s="17" t="s">
        <v>52</v>
      </c>
      <c r="J17" s="17" t="s">
        <v>298</v>
      </c>
      <c r="K17" s="7">
        <v>44635</v>
      </c>
      <c r="L17" s="7" t="str">
        <f t="shared" ca="1" si="3"/>
        <v>4 Years 0 Months</v>
      </c>
      <c r="M17" s="7" t="s">
        <v>31</v>
      </c>
      <c r="N17" s="7" t="s">
        <v>31</v>
      </c>
      <c r="O17" s="7" t="s">
        <v>31</v>
      </c>
      <c r="P17" s="6" t="s">
        <v>32</v>
      </c>
      <c r="Q17" s="6" t="s">
        <v>33</v>
      </c>
      <c r="R17" s="6" t="s">
        <v>299</v>
      </c>
      <c r="S17" s="4" t="s">
        <v>300</v>
      </c>
      <c r="T17" s="29" t="s">
        <v>1738</v>
      </c>
      <c r="U17" s="14" t="s">
        <v>301</v>
      </c>
      <c r="V17" s="4" t="s">
        <v>36</v>
      </c>
      <c r="W17" s="10">
        <v>32857</v>
      </c>
      <c r="X17" s="10" t="str">
        <f t="shared" ca="1" si="2"/>
        <v xml:space="preserve">36 Years </v>
      </c>
      <c r="Y17" s="6">
        <v>7764963401</v>
      </c>
      <c r="Z17" s="14" t="s">
        <v>302</v>
      </c>
      <c r="AA17" s="14" t="s">
        <v>303</v>
      </c>
      <c r="AB17" s="4" t="s">
        <v>40</v>
      </c>
      <c r="AC17" s="22" t="s">
        <v>31</v>
      </c>
      <c r="AD17" s="20" t="s">
        <v>41</v>
      </c>
      <c r="AE17" s="13">
        <v>45347</v>
      </c>
      <c r="AF17" s="6" t="s">
        <v>304</v>
      </c>
      <c r="AG17" s="14" t="s">
        <v>305</v>
      </c>
      <c r="AH17" s="18" t="s">
        <v>306</v>
      </c>
      <c r="AI17" s="14" t="s">
        <v>307</v>
      </c>
      <c r="AJ17" s="6" t="s">
        <v>63</v>
      </c>
      <c r="AK17" s="6" t="s">
        <v>308</v>
      </c>
      <c r="AL17" s="6" t="s">
        <v>309</v>
      </c>
      <c r="AM17" s="19" t="s">
        <v>310</v>
      </c>
      <c r="AN17" s="19" t="s">
        <v>311</v>
      </c>
      <c r="AO17" s="19" t="s">
        <v>312</v>
      </c>
      <c r="AP17" s="4" t="s">
        <v>31</v>
      </c>
      <c r="AQ17" t="s">
        <v>47</v>
      </c>
    </row>
    <row r="18" spans="1:43" x14ac:dyDescent="0.35">
      <c r="A18" s="3">
        <f t="shared" si="0"/>
        <v>17</v>
      </c>
      <c r="B18" s="4" t="s">
        <v>23</v>
      </c>
      <c r="C18" s="5" t="s">
        <v>313</v>
      </c>
      <c r="D18" s="20" t="s">
        <v>314</v>
      </c>
      <c r="E18" s="4" t="s">
        <v>315</v>
      </c>
      <c r="F18" s="4" t="s">
        <v>316</v>
      </c>
      <c r="G18" s="6" t="s">
        <v>251</v>
      </c>
      <c r="H18" s="17" t="s">
        <v>117</v>
      </c>
      <c r="I18" s="17" t="s">
        <v>52</v>
      </c>
      <c r="J18" s="17" t="s">
        <v>298</v>
      </c>
      <c r="K18" s="7">
        <v>44641</v>
      </c>
      <c r="L18" s="7" t="str">
        <f t="shared" ca="1" si="3"/>
        <v>4 Years 0 Months</v>
      </c>
      <c r="M18" s="7" t="s">
        <v>31</v>
      </c>
      <c r="N18" s="7" t="s">
        <v>31</v>
      </c>
      <c r="O18" s="7" t="s">
        <v>31</v>
      </c>
      <c r="P18" s="6" t="s">
        <v>32</v>
      </c>
      <c r="Q18" s="6" t="s">
        <v>33</v>
      </c>
      <c r="R18" s="6" t="s">
        <v>317</v>
      </c>
      <c r="S18" s="4" t="s">
        <v>318</v>
      </c>
      <c r="T18" s="9" t="s">
        <v>1739</v>
      </c>
      <c r="U18" s="14" t="s">
        <v>319</v>
      </c>
      <c r="V18" s="4" t="s">
        <v>36</v>
      </c>
      <c r="W18" s="10">
        <v>34956</v>
      </c>
      <c r="X18" s="10" t="str">
        <f t="shared" ca="1" si="2"/>
        <v xml:space="preserve">30 Years </v>
      </c>
      <c r="Y18" s="6">
        <v>8449056025</v>
      </c>
      <c r="Z18" s="14" t="s">
        <v>320</v>
      </c>
      <c r="AA18" s="14" t="s">
        <v>321</v>
      </c>
      <c r="AB18" s="4" t="s">
        <v>40</v>
      </c>
      <c r="AC18" s="27" t="s">
        <v>31</v>
      </c>
      <c r="AD18" s="4" t="s">
        <v>41</v>
      </c>
      <c r="AE18" s="13">
        <v>45995</v>
      </c>
      <c r="AF18" s="14" t="s">
        <v>210</v>
      </c>
      <c r="AG18" s="14" t="s">
        <v>322</v>
      </c>
      <c r="AH18" s="18" t="s">
        <v>323</v>
      </c>
      <c r="AI18" s="14" t="s">
        <v>324</v>
      </c>
      <c r="AJ18" s="6" t="s">
        <v>85</v>
      </c>
      <c r="AK18" s="6" t="s">
        <v>325</v>
      </c>
      <c r="AL18" s="6" t="s">
        <v>326</v>
      </c>
      <c r="AM18" s="19" t="s">
        <v>327</v>
      </c>
      <c r="AN18" s="19" t="s">
        <v>317</v>
      </c>
      <c r="AO18" s="19" t="s">
        <v>181</v>
      </c>
      <c r="AP18" s="4" t="s">
        <v>31</v>
      </c>
      <c r="AQ18" t="s">
        <v>47</v>
      </c>
    </row>
    <row r="19" spans="1:43" x14ac:dyDescent="0.35">
      <c r="A19" s="3">
        <f t="shared" si="0"/>
        <v>18</v>
      </c>
      <c r="B19" s="4" t="s">
        <v>23</v>
      </c>
      <c r="C19" s="5" t="s">
        <v>328</v>
      </c>
      <c r="D19" s="20" t="s">
        <v>329</v>
      </c>
      <c r="E19" s="4" t="s">
        <v>330</v>
      </c>
      <c r="F19" s="4" t="s">
        <v>331</v>
      </c>
      <c r="G19" s="6" t="s">
        <v>332</v>
      </c>
      <c r="H19" s="17" t="s">
        <v>149</v>
      </c>
      <c r="I19" s="17" t="s">
        <v>150</v>
      </c>
      <c r="J19" s="24" t="s">
        <v>151</v>
      </c>
      <c r="K19" s="7">
        <v>44641</v>
      </c>
      <c r="L19" s="7" t="str">
        <f t="shared" ca="1" si="3"/>
        <v>4 Years 0 Months</v>
      </c>
      <c r="M19" s="7" t="s">
        <v>31</v>
      </c>
      <c r="N19" s="7" t="s">
        <v>31</v>
      </c>
      <c r="O19" s="7" t="s">
        <v>31</v>
      </c>
      <c r="P19" s="6" t="s">
        <v>32</v>
      </c>
      <c r="Q19" s="6" t="s">
        <v>33</v>
      </c>
      <c r="R19" s="6" t="s">
        <v>333</v>
      </c>
      <c r="S19" s="4" t="s">
        <v>153</v>
      </c>
      <c r="T19" s="29" t="s">
        <v>1740</v>
      </c>
      <c r="U19" s="14" t="s">
        <v>334</v>
      </c>
      <c r="V19" s="4" t="s">
        <v>335</v>
      </c>
      <c r="W19" s="10">
        <v>33310</v>
      </c>
      <c r="X19" s="10" t="str">
        <f t="shared" ca="1" si="2"/>
        <v xml:space="preserve">35 Years </v>
      </c>
      <c r="Y19" s="6">
        <v>8257073051</v>
      </c>
      <c r="Z19" s="14" t="s">
        <v>336</v>
      </c>
      <c r="AA19" s="14" t="s">
        <v>337</v>
      </c>
      <c r="AB19" s="4" t="s">
        <v>40</v>
      </c>
      <c r="AC19" s="22" t="s">
        <v>31</v>
      </c>
      <c r="AD19" s="4" t="s">
        <v>41</v>
      </c>
      <c r="AE19" s="13" t="s">
        <v>157</v>
      </c>
      <c r="AF19" s="16" t="s">
        <v>124</v>
      </c>
      <c r="AH19" s="18" t="s">
        <v>338</v>
      </c>
      <c r="AI19" s="14" t="s">
        <v>160</v>
      </c>
      <c r="AJ19" s="6" t="s">
        <v>106</v>
      </c>
      <c r="AK19" s="6" t="s">
        <v>339</v>
      </c>
      <c r="AL19" s="6" t="s">
        <v>340</v>
      </c>
      <c r="AM19" s="19" t="s">
        <v>341</v>
      </c>
      <c r="AN19" s="19" t="s">
        <v>342</v>
      </c>
      <c r="AO19" s="19" t="s">
        <v>343</v>
      </c>
      <c r="AP19" s="4" t="s">
        <v>31</v>
      </c>
      <c r="AQ19" t="s">
        <v>47</v>
      </c>
    </row>
    <row r="20" spans="1:43" x14ac:dyDescent="0.35">
      <c r="A20" s="3">
        <f t="shared" si="0"/>
        <v>19</v>
      </c>
      <c r="B20" s="4" t="s">
        <v>23</v>
      </c>
      <c r="C20" s="5" t="s">
        <v>344</v>
      </c>
      <c r="D20" s="20" t="s">
        <v>345</v>
      </c>
      <c r="E20" s="4" t="s">
        <v>346</v>
      </c>
      <c r="F20" s="4" t="s">
        <v>347</v>
      </c>
      <c r="G20" s="6" t="s">
        <v>348</v>
      </c>
      <c r="H20" s="17" t="s">
        <v>117</v>
      </c>
      <c r="I20" s="17" t="s">
        <v>52</v>
      </c>
      <c r="J20" s="17" t="s">
        <v>53</v>
      </c>
      <c r="K20" s="7">
        <v>44653</v>
      </c>
      <c r="L20" s="7" t="str">
        <f t="shared" ca="1" si="3"/>
        <v>3 Years 11 Months</v>
      </c>
      <c r="M20" s="7" t="s">
        <v>31</v>
      </c>
      <c r="N20" s="7" t="s">
        <v>31</v>
      </c>
      <c r="O20" s="7" t="s">
        <v>31</v>
      </c>
      <c r="P20" s="6" t="s">
        <v>32</v>
      </c>
      <c r="Q20" s="6" t="s">
        <v>33</v>
      </c>
      <c r="R20" s="6" t="s">
        <v>349</v>
      </c>
      <c r="S20" s="4" t="s">
        <v>350</v>
      </c>
      <c r="T20" s="29" t="s">
        <v>1741</v>
      </c>
      <c r="U20" s="14" t="s">
        <v>351</v>
      </c>
      <c r="V20" s="4" t="s">
        <v>36</v>
      </c>
      <c r="W20" s="10">
        <v>32243</v>
      </c>
      <c r="X20" s="10" t="str">
        <f t="shared" ca="1" si="2"/>
        <v xml:space="preserve">37 Years </v>
      </c>
      <c r="Y20" s="6">
        <v>9706999298</v>
      </c>
      <c r="Z20" s="14" t="s">
        <v>352</v>
      </c>
      <c r="AA20" s="14" t="s">
        <v>353</v>
      </c>
      <c r="AB20" s="4" t="s">
        <v>40</v>
      </c>
      <c r="AC20" s="22" t="s">
        <v>31</v>
      </c>
      <c r="AD20" s="4" t="s">
        <v>41</v>
      </c>
      <c r="AE20" s="13" t="s">
        <v>157</v>
      </c>
      <c r="AF20" s="6" t="s">
        <v>354</v>
      </c>
      <c r="AG20" s="14" t="s">
        <v>355</v>
      </c>
      <c r="AH20" s="18" t="s">
        <v>356</v>
      </c>
      <c r="AI20" s="14" t="s">
        <v>357</v>
      </c>
      <c r="AJ20" s="6" t="s">
        <v>63</v>
      </c>
      <c r="AK20" s="6" t="s">
        <v>358</v>
      </c>
      <c r="AL20" s="6" t="s">
        <v>359</v>
      </c>
      <c r="AM20" s="19" t="s">
        <v>360</v>
      </c>
      <c r="AN20" s="19" t="s">
        <v>361</v>
      </c>
      <c r="AO20" s="19" t="s">
        <v>90</v>
      </c>
      <c r="AP20" s="4" t="s">
        <v>31</v>
      </c>
      <c r="AQ20" t="s">
        <v>47</v>
      </c>
    </row>
    <row r="21" spans="1:43" x14ac:dyDescent="0.35">
      <c r="A21" s="3">
        <f t="shared" si="0"/>
        <v>20</v>
      </c>
      <c r="B21" s="4" t="s">
        <v>23</v>
      </c>
      <c r="C21" s="5" t="s">
        <v>362</v>
      </c>
      <c r="D21" s="20" t="s">
        <v>363</v>
      </c>
      <c r="E21" s="4" t="s">
        <v>364</v>
      </c>
      <c r="F21" s="4" t="s">
        <v>365</v>
      </c>
      <c r="G21" s="6" t="s">
        <v>366</v>
      </c>
      <c r="H21" s="17" t="s">
        <v>117</v>
      </c>
      <c r="I21" s="17" t="s">
        <v>52</v>
      </c>
      <c r="J21" s="17" t="s">
        <v>345</v>
      </c>
      <c r="K21" s="7">
        <v>44669</v>
      </c>
      <c r="L21" s="7" t="str">
        <f t="shared" ca="1" si="3"/>
        <v>3 Years 11 Months</v>
      </c>
      <c r="M21" s="7" t="s">
        <v>31</v>
      </c>
      <c r="N21" s="7" t="s">
        <v>31</v>
      </c>
      <c r="O21" s="7" t="s">
        <v>31</v>
      </c>
      <c r="P21" s="6" t="s">
        <v>32</v>
      </c>
      <c r="Q21" s="6" t="s">
        <v>33</v>
      </c>
      <c r="R21" s="6" t="s">
        <v>367</v>
      </c>
      <c r="S21" s="4" t="s">
        <v>350</v>
      </c>
      <c r="T21" s="9" t="s">
        <v>1742</v>
      </c>
      <c r="U21" s="14" t="s">
        <v>368</v>
      </c>
      <c r="V21" s="4" t="s">
        <v>36</v>
      </c>
      <c r="W21" s="10">
        <v>33603</v>
      </c>
      <c r="X21" s="10" t="str">
        <f t="shared" ca="1" si="2"/>
        <v xml:space="preserve">34 Years </v>
      </c>
      <c r="Y21" s="33">
        <v>7086466067</v>
      </c>
      <c r="Z21" s="14" t="s">
        <v>369</v>
      </c>
      <c r="AA21" s="14" t="s">
        <v>370</v>
      </c>
      <c r="AB21" s="4" t="s">
        <v>40</v>
      </c>
      <c r="AC21" s="22" t="s">
        <v>31</v>
      </c>
      <c r="AD21" s="4" t="s">
        <v>41</v>
      </c>
      <c r="AE21" s="13">
        <v>45194</v>
      </c>
      <c r="AF21" s="14" t="s">
        <v>59</v>
      </c>
      <c r="AG21" s="14" t="s">
        <v>371</v>
      </c>
      <c r="AH21" s="18" t="s">
        <v>372</v>
      </c>
      <c r="AI21" s="14" t="s">
        <v>373</v>
      </c>
      <c r="AJ21" s="6" t="s">
        <v>63</v>
      </c>
      <c r="AK21" s="6" t="s">
        <v>374</v>
      </c>
      <c r="AL21" s="6" t="s">
        <v>375</v>
      </c>
      <c r="AM21" s="19" t="s">
        <v>376</v>
      </c>
      <c r="AN21" s="19" t="s">
        <v>377</v>
      </c>
      <c r="AO21" s="19" t="s">
        <v>264</v>
      </c>
      <c r="AP21" s="4" t="s">
        <v>31</v>
      </c>
      <c r="AQ21" t="s">
        <v>47</v>
      </c>
    </row>
    <row r="22" spans="1:43" x14ac:dyDescent="0.35">
      <c r="A22" s="3">
        <f t="shared" si="0"/>
        <v>21</v>
      </c>
      <c r="B22" s="4" t="s">
        <v>23</v>
      </c>
      <c r="C22" s="5" t="s">
        <v>378</v>
      </c>
      <c r="D22" s="20" t="s">
        <v>379</v>
      </c>
      <c r="E22" s="4" t="s">
        <v>380</v>
      </c>
      <c r="F22" s="4" t="s">
        <v>381</v>
      </c>
      <c r="G22" s="6" t="s">
        <v>382</v>
      </c>
      <c r="H22" s="17" t="s">
        <v>383</v>
      </c>
      <c r="I22" s="17" t="s">
        <v>384</v>
      </c>
      <c r="J22" s="17" t="s">
        <v>384</v>
      </c>
      <c r="K22" s="7">
        <v>44698</v>
      </c>
      <c r="L22" s="7" t="str">
        <f t="shared" ca="1" si="3"/>
        <v>3 Years 10 Months</v>
      </c>
      <c r="M22" s="7" t="s">
        <v>31</v>
      </c>
      <c r="N22" s="7" t="s">
        <v>31</v>
      </c>
      <c r="O22" s="7" t="s">
        <v>31</v>
      </c>
      <c r="P22" s="6" t="s">
        <v>32</v>
      </c>
      <c r="Q22" s="6" t="s">
        <v>33</v>
      </c>
      <c r="R22" s="6" t="s">
        <v>385</v>
      </c>
      <c r="S22" s="4" t="s">
        <v>35</v>
      </c>
      <c r="T22" s="9" t="s">
        <v>1743</v>
      </c>
      <c r="U22" s="14" t="s">
        <v>386</v>
      </c>
      <c r="V22" s="4" t="s">
        <v>335</v>
      </c>
      <c r="W22" s="10">
        <v>34578</v>
      </c>
      <c r="X22" s="10" t="str">
        <f t="shared" ca="1" si="2"/>
        <v xml:space="preserve">31 Years </v>
      </c>
      <c r="Y22" s="6">
        <v>9601923915</v>
      </c>
      <c r="Z22" s="14" t="s">
        <v>387</v>
      </c>
      <c r="AA22" s="14" t="s">
        <v>388</v>
      </c>
      <c r="AB22" s="4" t="s">
        <v>40</v>
      </c>
      <c r="AC22" s="22" t="s">
        <v>31</v>
      </c>
      <c r="AD22" s="4" t="s">
        <v>41</v>
      </c>
      <c r="AE22" s="13">
        <v>45336</v>
      </c>
      <c r="AF22" s="6" t="s">
        <v>389</v>
      </c>
      <c r="AG22" s="14" t="s">
        <v>305</v>
      </c>
      <c r="AH22" s="18" t="s">
        <v>390</v>
      </c>
      <c r="AI22" s="14" t="s">
        <v>391</v>
      </c>
      <c r="AJ22" s="6" t="s">
        <v>161</v>
      </c>
      <c r="AK22" s="6" t="s">
        <v>392</v>
      </c>
      <c r="AL22" s="6" t="s">
        <v>393</v>
      </c>
      <c r="AM22" s="19" t="s">
        <v>394</v>
      </c>
      <c r="AN22" s="19" t="s">
        <v>395</v>
      </c>
      <c r="AO22" s="19" t="s">
        <v>90</v>
      </c>
      <c r="AP22" s="4" t="s">
        <v>31</v>
      </c>
      <c r="AQ22" t="s">
        <v>47</v>
      </c>
    </row>
    <row r="23" spans="1:43" x14ac:dyDescent="0.35">
      <c r="A23" s="3">
        <f t="shared" si="0"/>
        <v>22</v>
      </c>
      <c r="B23" s="4" t="s">
        <v>23</v>
      </c>
      <c r="C23" s="5" t="s">
        <v>396</v>
      </c>
      <c r="D23" s="20" t="s">
        <v>397</v>
      </c>
      <c r="E23" s="4" t="s">
        <v>398</v>
      </c>
      <c r="F23" s="4" t="s">
        <v>399</v>
      </c>
      <c r="G23" s="6" t="s">
        <v>400</v>
      </c>
      <c r="H23" s="17" t="s">
        <v>401</v>
      </c>
      <c r="I23" s="17" t="s">
        <v>52</v>
      </c>
      <c r="J23" s="17" t="s">
        <v>53</v>
      </c>
      <c r="K23" s="7">
        <v>44734</v>
      </c>
      <c r="L23" s="7" t="str">
        <f t="shared" ca="1" si="3"/>
        <v>3 Years 9 Months</v>
      </c>
      <c r="M23" s="7" t="s">
        <v>31</v>
      </c>
      <c r="N23" s="7" t="s">
        <v>31</v>
      </c>
      <c r="O23" s="7" t="s">
        <v>31</v>
      </c>
      <c r="P23" s="6" t="s">
        <v>32</v>
      </c>
      <c r="Q23" s="6" t="s">
        <v>33</v>
      </c>
      <c r="R23" s="6" t="s">
        <v>402</v>
      </c>
      <c r="S23" s="4" t="s">
        <v>35</v>
      </c>
      <c r="T23" s="9" t="s">
        <v>1744</v>
      </c>
      <c r="U23" s="14" t="s">
        <v>403</v>
      </c>
      <c r="V23" s="4" t="s">
        <v>36</v>
      </c>
      <c r="W23" s="10">
        <v>36019</v>
      </c>
      <c r="X23" s="10" t="str">
        <f t="shared" ca="1" si="2"/>
        <v xml:space="preserve">27 Years </v>
      </c>
      <c r="Y23" s="6" t="s">
        <v>404</v>
      </c>
      <c r="Z23" s="14" t="s">
        <v>405</v>
      </c>
      <c r="AA23" s="14" t="s">
        <v>406</v>
      </c>
      <c r="AB23" s="4" t="s">
        <v>40</v>
      </c>
      <c r="AC23" s="27" t="s">
        <v>31</v>
      </c>
      <c r="AD23" s="4" t="s">
        <v>41</v>
      </c>
      <c r="AE23" s="13">
        <v>45787</v>
      </c>
      <c r="AF23" s="14" t="s">
        <v>407</v>
      </c>
      <c r="AH23" s="18" t="s">
        <v>408</v>
      </c>
      <c r="AI23" s="14" t="s">
        <v>62</v>
      </c>
      <c r="AJ23" s="6" t="s">
        <v>63</v>
      </c>
      <c r="AK23" s="6" t="s">
        <v>409</v>
      </c>
      <c r="AL23" s="6" t="s">
        <v>410</v>
      </c>
      <c r="AM23" s="19" t="s">
        <v>411</v>
      </c>
      <c r="AN23" s="19" t="s">
        <v>412</v>
      </c>
      <c r="AO23" s="19" t="s">
        <v>68</v>
      </c>
      <c r="AP23" s="4" t="s">
        <v>31</v>
      </c>
      <c r="AQ23" t="s">
        <v>47</v>
      </c>
    </row>
    <row r="24" spans="1:43" x14ac:dyDescent="0.35">
      <c r="A24" s="3">
        <f t="shared" si="0"/>
        <v>23</v>
      </c>
      <c r="B24" s="4" t="s">
        <v>23</v>
      </c>
      <c r="C24" s="5" t="s">
        <v>413</v>
      </c>
      <c r="D24" s="20" t="s">
        <v>414</v>
      </c>
      <c r="E24" s="4" t="s">
        <v>415</v>
      </c>
      <c r="F24" s="4" t="s">
        <v>27</v>
      </c>
      <c r="G24" s="6" t="s">
        <v>416</v>
      </c>
      <c r="H24" s="17" t="s">
        <v>117</v>
      </c>
      <c r="I24" s="17" t="s">
        <v>52</v>
      </c>
      <c r="J24" s="17" t="s">
        <v>417</v>
      </c>
      <c r="K24" s="7">
        <v>44805</v>
      </c>
      <c r="L24" s="7" t="str">
        <f t="shared" ca="1" si="3"/>
        <v>3 Years 6 Months</v>
      </c>
      <c r="M24" s="7" t="s">
        <v>31</v>
      </c>
      <c r="N24" s="7" t="s">
        <v>31</v>
      </c>
      <c r="O24" s="7" t="s">
        <v>31</v>
      </c>
      <c r="P24" s="6" t="s">
        <v>32</v>
      </c>
      <c r="Q24" s="6" t="s">
        <v>33</v>
      </c>
      <c r="R24" s="6" t="s">
        <v>418</v>
      </c>
      <c r="S24" s="4" t="s">
        <v>419</v>
      </c>
      <c r="T24" s="34" t="s">
        <v>1745</v>
      </c>
      <c r="U24" s="14" t="s">
        <v>420</v>
      </c>
      <c r="V24" s="4" t="s">
        <v>36</v>
      </c>
      <c r="W24" s="10">
        <v>37308</v>
      </c>
      <c r="X24" s="10" t="str">
        <f t="shared" ca="1" si="2"/>
        <v xml:space="preserve">24 Years </v>
      </c>
      <c r="Y24" s="6">
        <v>6006101403</v>
      </c>
      <c r="Z24" s="14" t="s">
        <v>421</v>
      </c>
      <c r="AA24" s="14" t="s">
        <v>422</v>
      </c>
      <c r="AB24" s="4" t="s">
        <v>40</v>
      </c>
      <c r="AC24" s="22" t="s">
        <v>31</v>
      </c>
      <c r="AD24" s="4" t="s">
        <v>123</v>
      </c>
      <c r="AE24" s="13" t="s">
        <v>31</v>
      </c>
      <c r="AF24" s="6" t="s">
        <v>138</v>
      </c>
      <c r="AH24" s="18" t="s">
        <v>423</v>
      </c>
      <c r="AI24" s="14" t="s">
        <v>424</v>
      </c>
      <c r="AJ24" s="6" t="s">
        <v>63</v>
      </c>
      <c r="AK24" s="6" t="s">
        <v>425</v>
      </c>
      <c r="AL24" s="6" t="s">
        <v>426</v>
      </c>
      <c r="AM24" s="19" t="s">
        <v>427</v>
      </c>
      <c r="AN24" s="19" t="s">
        <v>428</v>
      </c>
      <c r="AO24" s="19" t="s">
        <v>68</v>
      </c>
      <c r="AP24" s="4" t="s">
        <v>31</v>
      </c>
      <c r="AQ24" t="s">
        <v>47</v>
      </c>
    </row>
    <row r="25" spans="1:43" x14ac:dyDescent="0.35">
      <c r="A25" s="3">
        <f t="shared" si="0"/>
        <v>24</v>
      </c>
      <c r="B25" s="4" t="s">
        <v>23</v>
      </c>
      <c r="C25" s="5" t="s">
        <v>429</v>
      </c>
      <c r="D25" s="20" t="s">
        <v>430</v>
      </c>
      <c r="E25" s="4" t="s">
        <v>431</v>
      </c>
      <c r="F25" s="4" t="s">
        <v>27</v>
      </c>
      <c r="G25" s="6" t="s">
        <v>432</v>
      </c>
      <c r="H25" s="17" t="s">
        <v>29</v>
      </c>
      <c r="I25" s="17" t="s">
        <v>25</v>
      </c>
      <c r="J25" s="4" t="s">
        <v>25</v>
      </c>
      <c r="K25" s="7">
        <v>44805</v>
      </c>
      <c r="L25" s="7" t="str">
        <f t="shared" ca="1" si="3"/>
        <v>3 Years 6 Months</v>
      </c>
      <c r="M25" s="7" t="s">
        <v>31</v>
      </c>
      <c r="N25" s="7" t="s">
        <v>31</v>
      </c>
      <c r="O25" s="7" t="s">
        <v>31</v>
      </c>
      <c r="P25" s="6" t="s">
        <v>32</v>
      </c>
      <c r="Q25" s="6" t="s">
        <v>33</v>
      </c>
      <c r="R25" s="6" t="s">
        <v>25</v>
      </c>
      <c r="S25" s="4" t="s">
        <v>35</v>
      </c>
      <c r="T25" s="29" t="s">
        <v>1746</v>
      </c>
      <c r="U25" s="14"/>
      <c r="V25" s="4" t="s">
        <v>335</v>
      </c>
      <c r="W25" s="10">
        <v>36418</v>
      </c>
      <c r="X25" s="10" t="str">
        <f t="shared" ca="1" si="2"/>
        <v xml:space="preserve">26 Years </v>
      </c>
      <c r="Y25" s="6">
        <v>7303887139</v>
      </c>
      <c r="Z25" s="14" t="s">
        <v>433</v>
      </c>
      <c r="AA25" s="14" t="s">
        <v>434</v>
      </c>
      <c r="AB25" s="4" t="s">
        <v>40</v>
      </c>
      <c r="AC25" s="35" t="s">
        <v>31</v>
      </c>
      <c r="AD25" s="4" t="s">
        <v>123</v>
      </c>
      <c r="AE25" s="13" t="s">
        <v>31</v>
      </c>
      <c r="AF25" s="36" t="s">
        <v>31</v>
      </c>
      <c r="AG25" s="36" t="s">
        <v>31</v>
      </c>
      <c r="AH25" s="36" t="s">
        <v>31</v>
      </c>
      <c r="AI25" s="36" t="s">
        <v>31</v>
      </c>
      <c r="AJ25" s="36" t="s">
        <v>31</v>
      </c>
      <c r="AK25" s="36" t="s">
        <v>31</v>
      </c>
      <c r="AL25" s="36" t="s">
        <v>31</v>
      </c>
      <c r="AM25" s="19" t="s">
        <v>31</v>
      </c>
      <c r="AN25" s="19" t="s">
        <v>31</v>
      </c>
      <c r="AO25" s="19" t="s">
        <v>31</v>
      </c>
      <c r="AP25" s="4" t="s">
        <v>31</v>
      </c>
      <c r="AQ25" t="s">
        <v>47</v>
      </c>
    </row>
    <row r="26" spans="1:43" x14ac:dyDescent="0.35">
      <c r="A26" s="3">
        <f t="shared" si="0"/>
        <v>25</v>
      </c>
      <c r="B26" s="4" t="s">
        <v>23</v>
      </c>
      <c r="C26" s="5" t="s">
        <v>435</v>
      </c>
      <c r="D26" s="20" t="s">
        <v>436</v>
      </c>
      <c r="E26" s="4" t="s">
        <v>437</v>
      </c>
      <c r="F26" s="4" t="s">
        <v>72</v>
      </c>
      <c r="G26" s="6" t="s">
        <v>438</v>
      </c>
      <c r="H26" s="17" t="s">
        <v>439</v>
      </c>
      <c r="I26" s="17" t="s">
        <v>75</v>
      </c>
      <c r="J26" s="17" t="s">
        <v>75</v>
      </c>
      <c r="K26" s="7">
        <v>44820</v>
      </c>
      <c r="L26" s="7" t="str">
        <f t="shared" ca="1" si="3"/>
        <v>3 Years 6 Months</v>
      </c>
      <c r="M26" s="7" t="s">
        <v>31</v>
      </c>
      <c r="N26" s="7" t="s">
        <v>31</v>
      </c>
      <c r="O26" s="7" t="s">
        <v>31</v>
      </c>
      <c r="P26" s="6" t="s">
        <v>32</v>
      </c>
      <c r="Q26" s="6" t="s">
        <v>33</v>
      </c>
      <c r="R26" s="6" t="s">
        <v>440</v>
      </c>
      <c r="S26" s="4" t="s">
        <v>35</v>
      </c>
      <c r="T26" s="29" t="s">
        <v>1747</v>
      </c>
      <c r="U26" s="14" t="s">
        <v>441</v>
      </c>
      <c r="V26" s="4" t="s">
        <v>36</v>
      </c>
      <c r="W26" s="10">
        <v>27983</v>
      </c>
      <c r="X26" s="10" t="str">
        <f t="shared" ca="1" si="2"/>
        <v xml:space="preserve">49 Years </v>
      </c>
      <c r="Y26" s="6">
        <v>7506640042</v>
      </c>
      <c r="Z26" s="14" t="s">
        <v>442</v>
      </c>
      <c r="AA26" s="14" t="s">
        <v>443</v>
      </c>
      <c r="AB26" s="4" t="s">
        <v>80</v>
      </c>
      <c r="AC26" s="35">
        <v>100045756512</v>
      </c>
      <c r="AD26" s="4" t="s">
        <v>41</v>
      </c>
      <c r="AE26" s="13" t="s">
        <v>157</v>
      </c>
      <c r="AF26" s="16" t="s">
        <v>288</v>
      </c>
      <c r="AG26" s="14" t="s">
        <v>444</v>
      </c>
      <c r="AH26" s="18" t="s">
        <v>445</v>
      </c>
      <c r="AI26" s="14" t="s">
        <v>446</v>
      </c>
      <c r="AJ26" s="6" t="s">
        <v>85</v>
      </c>
      <c r="AK26" s="6" t="s">
        <v>447</v>
      </c>
      <c r="AL26" s="6" t="s">
        <v>448</v>
      </c>
      <c r="AM26" s="19" t="s">
        <v>449</v>
      </c>
      <c r="AN26" s="19" t="s">
        <v>450</v>
      </c>
      <c r="AO26" s="19" t="s">
        <v>451</v>
      </c>
      <c r="AP26" s="4" t="s">
        <v>31</v>
      </c>
      <c r="AQ26" t="s">
        <v>47</v>
      </c>
    </row>
    <row r="27" spans="1:43" x14ac:dyDescent="0.35">
      <c r="A27" s="3">
        <f t="shared" si="0"/>
        <v>26</v>
      </c>
      <c r="B27" s="4" t="s">
        <v>23</v>
      </c>
      <c r="C27" s="5" t="s">
        <v>452</v>
      </c>
      <c r="D27" s="20" t="s">
        <v>453</v>
      </c>
      <c r="E27" s="4" t="s">
        <v>454</v>
      </c>
      <c r="F27" s="4" t="s">
        <v>455</v>
      </c>
      <c r="G27" s="6" t="s">
        <v>366</v>
      </c>
      <c r="H27" s="17" t="s">
        <v>117</v>
      </c>
      <c r="I27" s="17" t="s">
        <v>52</v>
      </c>
      <c r="J27" s="17" t="s">
        <v>232</v>
      </c>
      <c r="K27" s="7">
        <v>44831</v>
      </c>
      <c r="L27" s="7" t="str">
        <f t="shared" ca="1" si="3"/>
        <v>3 Years 5 Months</v>
      </c>
      <c r="M27" s="7" t="s">
        <v>31</v>
      </c>
      <c r="N27" s="7" t="s">
        <v>31</v>
      </c>
      <c r="O27" s="7" t="s">
        <v>31</v>
      </c>
      <c r="P27" s="6" t="s">
        <v>32</v>
      </c>
      <c r="Q27" s="6" t="s">
        <v>33</v>
      </c>
      <c r="R27" s="6" t="s">
        <v>456</v>
      </c>
      <c r="S27" s="4" t="s">
        <v>457</v>
      </c>
      <c r="T27" s="29" t="s">
        <v>1748</v>
      </c>
      <c r="U27" s="14" t="s">
        <v>458</v>
      </c>
      <c r="V27" s="4" t="s">
        <v>36</v>
      </c>
      <c r="W27" s="10">
        <v>35840</v>
      </c>
      <c r="X27" s="10" t="str">
        <f t="shared" ca="1" si="2"/>
        <v xml:space="preserve">28 Years </v>
      </c>
      <c r="Y27" s="6">
        <v>6296931322</v>
      </c>
      <c r="Z27" s="14" t="s">
        <v>459</v>
      </c>
      <c r="AA27" s="14" t="s">
        <v>460</v>
      </c>
      <c r="AB27" s="4" t="s">
        <v>40</v>
      </c>
      <c r="AC27" s="35" t="s">
        <v>31</v>
      </c>
      <c r="AD27" s="4" t="s">
        <v>123</v>
      </c>
      <c r="AE27" s="13" t="s">
        <v>31</v>
      </c>
      <c r="AF27" s="6" t="s">
        <v>59</v>
      </c>
      <c r="AH27" s="18" t="s">
        <v>461</v>
      </c>
      <c r="AI27" s="14" t="s">
        <v>462</v>
      </c>
      <c r="AJ27" s="6" t="s">
        <v>463</v>
      </c>
      <c r="AK27" s="6" t="s">
        <v>464</v>
      </c>
      <c r="AL27" s="6" t="s">
        <v>465</v>
      </c>
      <c r="AM27" s="19" t="s">
        <v>466</v>
      </c>
      <c r="AN27" s="19" t="s">
        <v>467</v>
      </c>
      <c r="AO27" s="19" t="s">
        <v>468</v>
      </c>
      <c r="AP27" s="4" t="s">
        <v>31</v>
      </c>
      <c r="AQ27" t="s">
        <v>47</v>
      </c>
    </row>
    <row r="28" spans="1:43" x14ac:dyDescent="0.35">
      <c r="A28" s="3">
        <f t="shared" si="0"/>
        <v>27</v>
      </c>
      <c r="B28" s="4" t="s">
        <v>23</v>
      </c>
      <c r="C28" s="5" t="s">
        <v>469</v>
      </c>
      <c r="D28" s="20" t="s">
        <v>470</v>
      </c>
      <c r="E28" s="4" t="s">
        <v>471</v>
      </c>
      <c r="F28" s="4" t="s">
        <v>472</v>
      </c>
      <c r="G28" s="6" t="s">
        <v>473</v>
      </c>
      <c r="H28" s="17" t="s">
        <v>474</v>
      </c>
      <c r="I28" s="17" t="s">
        <v>75</v>
      </c>
      <c r="J28" s="17" t="s">
        <v>75</v>
      </c>
      <c r="K28" s="7">
        <v>44844</v>
      </c>
      <c r="L28" s="7" t="str">
        <f t="shared" ca="1" si="3"/>
        <v>3 Years 5 Months</v>
      </c>
      <c r="M28" s="7" t="s">
        <v>31</v>
      </c>
      <c r="N28" s="7" t="s">
        <v>31</v>
      </c>
      <c r="O28" s="7" t="s">
        <v>31</v>
      </c>
      <c r="P28" s="6" t="s">
        <v>32</v>
      </c>
      <c r="Q28" s="6" t="s">
        <v>33</v>
      </c>
      <c r="R28" s="6" t="s">
        <v>475</v>
      </c>
      <c r="S28" s="4" t="s">
        <v>35</v>
      </c>
      <c r="T28" s="29" t="s">
        <v>1749</v>
      </c>
      <c r="U28" s="14" t="s">
        <v>476</v>
      </c>
      <c r="V28" s="4" t="s">
        <v>36</v>
      </c>
      <c r="W28" s="10">
        <v>34062</v>
      </c>
      <c r="X28" s="10" t="str">
        <f t="shared" ca="1" si="2"/>
        <v xml:space="preserve">32 Years </v>
      </c>
      <c r="Y28" s="6">
        <v>9897170029</v>
      </c>
      <c r="Z28" s="14" t="s">
        <v>477</v>
      </c>
      <c r="AA28" s="14" t="s">
        <v>478</v>
      </c>
      <c r="AB28" s="4" t="s">
        <v>80</v>
      </c>
      <c r="AC28" s="28" t="s">
        <v>479</v>
      </c>
      <c r="AD28" s="4" t="s">
        <v>41</v>
      </c>
      <c r="AE28" s="13">
        <v>45619</v>
      </c>
      <c r="AF28" s="6" t="s">
        <v>59</v>
      </c>
      <c r="AG28" s="14" t="s">
        <v>158</v>
      </c>
      <c r="AH28" s="18" t="s">
        <v>480</v>
      </c>
      <c r="AI28" s="14" t="s">
        <v>481</v>
      </c>
      <c r="AJ28" s="6" t="s">
        <v>63</v>
      </c>
      <c r="AK28" s="6" t="s">
        <v>482</v>
      </c>
      <c r="AL28" s="6" t="s">
        <v>483</v>
      </c>
      <c r="AM28" s="19" t="s">
        <v>484</v>
      </c>
      <c r="AN28" s="19" t="s">
        <v>485</v>
      </c>
      <c r="AO28" s="19" t="s">
        <v>90</v>
      </c>
      <c r="AP28" s="4" t="s">
        <v>31</v>
      </c>
      <c r="AQ28" t="s">
        <v>47</v>
      </c>
    </row>
    <row r="29" spans="1:43" x14ac:dyDescent="0.35">
      <c r="A29" s="3">
        <f t="shared" si="0"/>
        <v>28</v>
      </c>
      <c r="B29" s="4" t="s">
        <v>23</v>
      </c>
      <c r="C29" s="5" t="s">
        <v>486</v>
      </c>
      <c r="D29" s="20" t="s">
        <v>487</v>
      </c>
      <c r="E29" s="4" t="s">
        <v>488</v>
      </c>
      <c r="F29" s="4" t="s">
        <v>72</v>
      </c>
      <c r="G29" s="6" t="s">
        <v>251</v>
      </c>
      <c r="H29" s="17" t="s">
        <v>117</v>
      </c>
      <c r="I29" s="17" t="s">
        <v>52</v>
      </c>
      <c r="J29" s="17" t="s">
        <v>298</v>
      </c>
      <c r="K29" s="7">
        <v>44863</v>
      </c>
      <c r="L29" s="7" t="str">
        <f t="shared" ca="1" si="3"/>
        <v>3 Years 4 Months</v>
      </c>
      <c r="M29" s="7" t="s">
        <v>31</v>
      </c>
      <c r="N29" s="7" t="s">
        <v>31</v>
      </c>
      <c r="O29" s="7" t="s">
        <v>31</v>
      </c>
      <c r="P29" s="6" t="s">
        <v>32</v>
      </c>
      <c r="Q29" s="6" t="s">
        <v>33</v>
      </c>
      <c r="R29" s="6" t="s">
        <v>489</v>
      </c>
      <c r="S29" s="4" t="s">
        <v>490</v>
      </c>
      <c r="T29" s="9" t="s">
        <v>1750</v>
      </c>
      <c r="U29" s="14" t="s">
        <v>491</v>
      </c>
      <c r="V29" s="4" t="s">
        <v>36</v>
      </c>
      <c r="W29" s="10">
        <v>34822</v>
      </c>
      <c r="X29" s="10" t="str">
        <f t="shared" ca="1" si="2"/>
        <v xml:space="preserve">30 Years </v>
      </c>
      <c r="Y29" s="6">
        <v>9140357342</v>
      </c>
      <c r="Z29" s="14" t="s">
        <v>492</v>
      </c>
      <c r="AA29" s="14" t="s">
        <v>493</v>
      </c>
      <c r="AB29" s="4" t="s">
        <v>80</v>
      </c>
      <c r="AC29" s="37">
        <v>101334550284</v>
      </c>
      <c r="AD29" s="4" t="s">
        <v>41</v>
      </c>
      <c r="AE29" s="13" t="s">
        <v>157</v>
      </c>
      <c r="AF29" s="14" t="s">
        <v>354</v>
      </c>
      <c r="AG29" s="14" t="s">
        <v>60</v>
      </c>
      <c r="AH29" s="18" t="s">
        <v>494</v>
      </c>
      <c r="AI29" s="14" t="s">
        <v>495</v>
      </c>
      <c r="AJ29" s="6" t="s">
        <v>161</v>
      </c>
      <c r="AK29" s="6" t="s">
        <v>496</v>
      </c>
      <c r="AL29" s="6" t="s">
        <v>497</v>
      </c>
      <c r="AM29" s="19" t="s">
        <v>498</v>
      </c>
      <c r="AN29" s="19" t="s">
        <v>499</v>
      </c>
      <c r="AO29" s="19" t="s">
        <v>68</v>
      </c>
      <c r="AP29" s="4" t="s">
        <v>31</v>
      </c>
      <c r="AQ29" t="s">
        <v>47</v>
      </c>
    </row>
    <row r="30" spans="1:43" x14ac:dyDescent="0.35">
      <c r="A30" s="3">
        <f t="shared" si="0"/>
        <v>29</v>
      </c>
      <c r="B30" s="4" t="s">
        <v>23</v>
      </c>
      <c r="C30" s="5" t="s">
        <v>500</v>
      </c>
      <c r="D30" s="20" t="s">
        <v>501</v>
      </c>
      <c r="E30" s="4" t="s">
        <v>502</v>
      </c>
      <c r="F30" s="4" t="s">
        <v>347</v>
      </c>
      <c r="G30" s="6" t="s">
        <v>503</v>
      </c>
      <c r="H30" s="17" t="s">
        <v>149</v>
      </c>
      <c r="I30" s="17" t="s">
        <v>150</v>
      </c>
      <c r="J30" s="17" t="s">
        <v>150</v>
      </c>
      <c r="K30" s="7">
        <v>44866</v>
      </c>
      <c r="L30" s="7" t="str">
        <f t="shared" ca="1" si="3"/>
        <v>3 Years 4 Months</v>
      </c>
      <c r="M30" s="7" t="s">
        <v>31</v>
      </c>
      <c r="N30" s="7" t="s">
        <v>31</v>
      </c>
      <c r="O30" s="7" t="s">
        <v>31</v>
      </c>
      <c r="P30" s="6" t="s">
        <v>32</v>
      </c>
      <c r="Q30" s="6" t="s">
        <v>33</v>
      </c>
      <c r="R30" s="6" t="s">
        <v>504</v>
      </c>
      <c r="S30" s="4" t="s">
        <v>153</v>
      </c>
      <c r="T30" s="9" t="s">
        <v>1751</v>
      </c>
      <c r="U30" s="14" t="s">
        <v>505</v>
      </c>
      <c r="V30" s="4" t="s">
        <v>36</v>
      </c>
      <c r="W30" s="10">
        <v>33118</v>
      </c>
      <c r="X30" s="10" t="str">
        <f t="shared" ca="1" si="2"/>
        <v xml:space="preserve">35 Years </v>
      </c>
      <c r="Y30" s="6">
        <v>8486388496</v>
      </c>
      <c r="Z30" s="14" t="s">
        <v>506</v>
      </c>
      <c r="AA30" s="14" t="s">
        <v>507</v>
      </c>
      <c r="AB30" s="4" t="s">
        <v>80</v>
      </c>
      <c r="AC30" s="38">
        <v>100847725819</v>
      </c>
      <c r="AD30" s="4" t="s">
        <v>41</v>
      </c>
      <c r="AE30" s="13">
        <v>43800</v>
      </c>
      <c r="AF30" s="14" t="s">
        <v>59</v>
      </c>
      <c r="AG30" s="14" t="s">
        <v>508</v>
      </c>
      <c r="AH30" s="18" t="s">
        <v>509</v>
      </c>
      <c r="AI30" s="14" t="s">
        <v>510</v>
      </c>
      <c r="AJ30" s="6" t="s">
        <v>63</v>
      </c>
      <c r="AK30" s="6" t="s">
        <v>511</v>
      </c>
      <c r="AL30" s="6" t="s">
        <v>512</v>
      </c>
      <c r="AM30" s="19" t="s">
        <v>513</v>
      </c>
      <c r="AN30" s="19" t="s">
        <v>514</v>
      </c>
      <c r="AO30" s="19" t="s">
        <v>90</v>
      </c>
      <c r="AP30" s="4" t="s">
        <v>31</v>
      </c>
      <c r="AQ30" t="s">
        <v>47</v>
      </c>
    </row>
    <row r="31" spans="1:43" x14ac:dyDescent="0.35">
      <c r="A31" s="3">
        <f t="shared" si="0"/>
        <v>30</v>
      </c>
      <c r="B31" s="4" t="s">
        <v>23</v>
      </c>
      <c r="C31" s="5" t="s">
        <v>515</v>
      </c>
      <c r="D31" s="20" t="s">
        <v>516</v>
      </c>
      <c r="E31" s="4" t="s">
        <v>517</v>
      </c>
      <c r="F31" s="4" t="s">
        <v>518</v>
      </c>
      <c r="G31" s="6" t="s">
        <v>251</v>
      </c>
      <c r="H31" s="17" t="s">
        <v>51</v>
      </c>
      <c r="I31" s="17" t="s">
        <v>52</v>
      </c>
      <c r="J31" s="17" t="s">
        <v>53</v>
      </c>
      <c r="K31" s="7">
        <v>44875</v>
      </c>
      <c r="L31" s="7" t="str">
        <f t="shared" ca="1" si="3"/>
        <v>3 Years 4 Months</v>
      </c>
      <c r="M31" s="7" t="s">
        <v>31</v>
      </c>
      <c r="N31" s="7" t="s">
        <v>31</v>
      </c>
      <c r="O31" s="7" t="s">
        <v>31</v>
      </c>
      <c r="P31" s="6" t="s">
        <v>32</v>
      </c>
      <c r="Q31" s="6" t="s">
        <v>33</v>
      </c>
      <c r="R31" s="19" t="s">
        <v>519</v>
      </c>
      <c r="S31" s="4" t="s">
        <v>35</v>
      </c>
      <c r="T31" s="9" t="s">
        <v>1752</v>
      </c>
      <c r="U31" s="14" t="s">
        <v>520</v>
      </c>
      <c r="V31" s="4" t="s">
        <v>36</v>
      </c>
      <c r="W31" s="10">
        <v>32692</v>
      </c>
      <c r="X31" s="10" t="str">
        <f t="shared" ca="1" si="2"/>
        <v xml:space="preserve">36 Years </v>
      </c>
      <c r="Y31" s="6">
        <v>9838293124</v>
      </c>
      <c r="Z31" s="14" t="s">
        <v>521</v>
      </c>
      <c r="AA31" s="14" t="s">
        <v>522</v>
      </c>
      <c r="AB31" s="4" t="s">
        <v>40</v>
      </c>
      <c r="AC31" s="27" t="s">
        <v>31</v>
      </c>
      <c r="AD31" s="4" t="s">
        <v>41</v>
      </c>
      <c r="AE31" s="13">
        <v>42416</v>
      </c>
      <c r="AF31" s="14" t="s">
        <v>59</v>
      </c>
      <c r="AG31" s="14" t="s">
        <v>523</v>
      </c>
      <c r="AH31" s="18" t="s">
        <v>524</v>
      </c>
      <c r="AI31" s="14" t="s">
        <v>177</v>
      </c>
      <c r="AJ31" s="6" t="s">
        <v>463</v>
      </c>
      <c r="AK31" s="6" t="s">
        <v>525</v>
      </c>
      <c r="AL31" s="6" t="s">
        <v>526</v>
      </c>
      <c r="AM31" s="19" t="s">
        <v>527</v>
      </c>
      <c r="AN31" s="19" t="s">
        <v>528</v>
      </c>
      <c r="AO31" s="19" t="s">
        <v>181</v>
      </c>
      <c r="AP31" s="4" t="s">
        <v>31</v>
      </c>
      <c r="AQ31" t="s">
        <v>47</v>
      </c>
    </row>
    <row r="32" spans="1:43" x14ac:dyDescent="0.35">
      <c r="A32" s="3">
        <f t="shared" si="0"/>
        <v>31</v>
      </c>
      <c r="B32" s="4" t="s">
        <v>23</v>
      </c>
      <c r="C32" s="5" t="s">
        <v>529</v>
      </c>
      <c r="D32" s="20" t="s">
        <v>530</v>
      </c>
      <c r="E32" s="4" t="s">
        <v>531</v>
      </c>
      <c r="F32" s="4" t="s">
        <v>297</v>
      </c>
      <c r="G32" s="6" t="s">
        <v>532</v>
      </c>
      <c r="H32" s="17" t="s">
        <v>439</v>
      </c>
      <c r="I32" s="17" t="s">
        <v>75</v>
      </c>
      <c r="J32" s="17" t="s">
        <v>436</v>
      </c>
      <c r="K32" s="7">
        <v>44998</v>
      </c>
      <c r="L32" s="7" t="str">
        <f t="shared" ca="1" si="3"/>
        <v>3 Years 0 Months</v>
      </c>
      <c r="M32" s="7" t="s">
        <v>31</v>
      </c>
      <c r="N32" s="7" t="s">
        <v>31</v>
      </c>
      <c r="O32" s="7" t="s">
        <v>31</v>
      </c>
      <c r="P32" s="6" t="s">
        <v>32</v>
      </c>
      <c r="Q32" s="6" t="s">
        <v>533</v>
      </c>
      <c r="R32" s="6" t="s">
        <v>534</v>
      </c>
      <c r="S32" s="4" t="s">
        <v>35</v>
      </c>
      <c r="T32" s="9" t="s">
        <v>1753</v>
      </c>
      <c r="U32" s="14" t="s">
        <v>535</v>
      </c>
      <c r="V32" s="4" t="s">
        <v>36</v>
      </c>
      <c r="W32" s="10">
        <v>34613</v>
      </c>
      <c r="X32" s="10" t="str">
        <f t="shared" ca="1" si="2"/>
        <v xml:space="preserve">31 Years </v>
      </c>
      <c r="Y32" s="39">
        <v>7970362422</v>
      </c>
      <c r="Z32" s="28" t="s">
        <v>536</v>
      </c>
      <c r="AA32" s="14" t="s">
        <v>537</v>
      </c>
      <c r="AB32" s="4" t="s">
        <v>80</v>
      </c>
      <c r="AC32" s="22">
        <v>101352416731</v>
      </c>
      <c r="AD32" s="4" t="s">
        <v>41</v>
      </c>
      <c r="AE32" s="40" t="s">
        <v>157</v>
      </c>
      <c r="AF32" s="6" t="s">
        <v>354</v>
      </c>
      <c r="AG32" s="14" t="s">
        <v>60</v>
      </c>
      <c r="AH32" s="18" t="s">
        <v>538</v>
      </c>
      <c r="AI32" s="14" t="s">
        <v>539</v>
      </c>
      <c r="AJ32" s="6" t="s">
        <v>63</v>
      </c>
      <c r="AK32" s="6" t="s">
        <v>540</v>
      </c>
      <c r="AL32" s="6" t="s">
        <v>541</v>
      </c>
      <c r="AM32" s="19" t="s">
        <v>542</v>
      </c>
      <c r="AN32" s="19" t="s">
        <v>543</v>
      </c>
      <c r="AO32" s="19" t="s">
        <v>31</v>
      </c>
      <c r="AP32" s="4" t="s">
        <v>31</v>
      </c>
      <c r="AQ32" t="s">
        <v>47</v>
      </c>
    </row>
    <row r="33" spans="1:43" x14ac:dyDescent="0.35">
      <c r="A33" s="3">
        <f t="shared" si="0"/>
        <v>32</v>
      </c>
      <c r="B33" s="4" t="s">
        <v>23</v>
      </c>
      <c r="C33" s="5" t="s">
        <v>544</v>
      </c>
      <c r="D33" s="20" t="s">
        <v>545</v>
      </c>
      <c r="E33" s="4" t="s">
        <v>546</v>
      </c>
      <c r="F33" s="4" t="s">
        <v>547</v>
      </c>
      <c r="G33" s="6" t="s">
        <v>548</v>
      </c>
      <c r="H33" s="17" t="s">
        <v>149</v>
      </c>
      <c r="I33" s="17" t="s">
        <v>150</v>
      </c>
      <c r="J33" s="17" t="s">
        <v>151</v>
      </c>
      <c r="K33" s="7">
        <v>45078</v>
      </c>
      <c r="L33" s="7" t="str">
        <f t="shared" ca="1" si="3"/>
        <v>2 Years 9 Months</v>
      </c>
      <c r="M33" s="7" t="s">
        <v>31</v>
      </c>
      <c r="N33" s="7" t="s">
        <v>31</v>
      </c>
      <c r="O33" s="7" t="s">
        <v>31</v>
      </c>
      <c r="P33" s="6" t="s">
        <v>32</v>
      </c>
      <c r="Q33" s="6" t="s">
        <v>533</v>
      </c>
      <c r="R33" s="6" t="s">
        <v>549</v>
      </c>
      <c r="S33" s="4" t="s">
        <v>153</v>
      </c>
      <c r="T33" s="29" t="s">
        <v>1754</v>
      </c>
      <c r="U33" s="14" t="s">
        <v>550</v>
      </c>
      <c r="V33" s="4" t="s">
        <v>36</v>
      </c>
      <c r="W33" s="10">
        <v>35634</v>
      </c>
      <c r="X33" s="10" t="str">
        <f t="shared" ca="1" si="2"/>
        <v xml:space="preserve">28 Years </v>
      </c>
      <c r="Y33" s="6">
        <v>6009918401</v>
      </c>
      <c r="Z33" s="28" t="s">
        <v>551</v>
      </c>
      <c r="AA33" s="14" t="s">
        <v>552</v>
      </c>
      <c r="AB33" s="4" t="s">
        <v>40</v>
      </c>
      <c r="AC33" s="27" t="s">
        <v>31</v>
      </c>
      <c r="AD33" s="4" t="s">
        <v>123</v>
      </c>
      <c r="AE33" s="40" t="s">
        <v>31</v>
      </c>
      <c r="AF33" s="16" t="s">
        <v>138</v>
      </c>
      <c r="AH33" s="18" t="s">
        <v>553</v>
      </c>
      <c r="AI33" s="14" t="s">
        <v>554</v>
      </c>
      <c r="AJ33" s="6" t="s">
        <v>63</v>
      </c>
      <c r="AK33" s="6" t="s">
        <v>555</v>
      </c>
      <c r="AL33" s="6" t="s">
        <v>556</v>
      </c>
      <c r="AM33" s="19" t="s">
        <v>557</v>
      </c>
      <c r="AN33" s="19" t="s">
        <v>549</v>
      </c>
      <c r="AO33" s="19" t="s">
        <v>181</v>
      </c>
      <c r="AP33" s="4" t="s">
        <v>31</v>
      </c>
      <c r="AQ33" t="s">
        <v>47</v>
      </c>
    </row>
    <row r="34" spans="1:43" x14ac:dyDescent="0.35">
      <c r="A34" s="3">
        <f t="shared" si="0"/>
        <v>33</v>
      </c>
      <c r="B34" s="4" t="s">
        <v>23</v>
      </c>
      <c r="C34" s="31" t="s">
        <v>558</v>
      </c>
      <c r="D34" s="20" t="s">
        <v>204</v>
      </c>
      <c r="E34" s="4" t="s">
        <v>559</v>
      </c>
      <c r="F34" s="4" t="s">
        <v>560</v>
      </c>
      <c r="G34" s="6" t="s">
        <v>561</v>
      </c>
      <c r="H34" s="17" t="s">
        <v>74</v>
      </c>
      <c r="I34" s="17" t="s">
        <v>75</v>
      </c>
      <c r="J34" s="17" t="s">
        <v>75</v>
      </c>
      <c r="K34" s="32">
        <v>45110</v>
      </c>
      <c r="L34" s="7" t="str">
        <f t="shared" ca="1" si="3"/>
        <v>2 Years 8 Months</v>
      </c>
      <c r="M34" s="7" t="s">
        <v>31</v>
      </c>
      <c r="N34" s="7" t="s">
        <v>31</v>
      </c>
      <c r="O34" s="7" t="s">
        <v>31</v>
      </c>
      <c r="P34" s="6" t="s">
        <v>32</v>
      </c>
      <c r="Q34" s="6" t="s">
        <v>533</v>
      </c>
      <c r="R34" s="6" t="s">
        <v>562</v>
      </c>
      <c r="S34" s="4" t="s">
        <v>35</v>
      </c>
      <c r="T34" s="29" t="s">
        <v>1755</v>
      </c>
      <c r="U34" s="14" t="s">
        <v>563</v>
      </c>
      <c r="V34" s="4" t="s">
        <v>36</v>
      </c>
      <c r="W34" s="10">
        <v>31403</v>
      </c>
      <c r="X34" s="10" t="str">
        <f t="shared" ca="1" si="2"/>
        <v xml:space="preserve">40 Years </v>
      </c>
      <c r="Y34" s="6">
        <v>8638077175</v>
      </c>
      <c r="Z34" s="14" t="s">
        <v>564</v>
      </c>
      <c r="AA34" s="14" t="s">
        <v>565</v>
      </c>
      <c r="AB34" s="4" t="s">
        <v>80</v>
      </c>
      <c r="AC34" s="22">
        <v>10102841262</v>
      </c>
      <c r="AD34" s="4" t="s">
        <v>41</v>
      </c>
      <c r="AE34" s="13">
        <v>43135</v>
      </c>
      <c r="AF34" s="16" t="s">
        <v>288</v>
      </c>
      <c r="AH34" s="14" t="s">
        <v>566</v>
      </c>
      <c r="AI34" s="6" t="s">
        <v>567</v>
      </c>
      <c r="AJ34" s="6" t="s">
        <v>106</v>
      </c>
      <c r="AK34" s="6" t="s">
        <v>568</v>
      </c>
      <c r="AL34" s="41" t="s">
        <v>569</v>
      </c>
      <c r="AM34" s="19" t="s">
        <v>570</v>
      </c>
      <c r="AN34" s="21" t="s">
        <v>571</v>
      </c>
      <c r="AO34" s="19" t="s">
        <v>572</v>
      </c>
      <c r="AP34" s="4" t="s">
        <v>31</v>
      </c>
      <c r="AQ34" t="s">
        <v>47</v>
      </c>
    </row>
    <row r="35" spans="1:43" x14ac:dyDescent="0.35">
      <c r="A35" s="3">
        <f t="shared" si="0"/>
        <v>34</v>
      </c>
      <c r="B35" s="4" t="s">
        <v>23</v>
      </c>
      <c r="C35" s="5" t="s">
        <v>573</v>
      </c>
      <c r="D35" s="20" t="s">
        <v>574</v>
      </c>
      <c r="E35" s="4" t="s">
        <v>575</v>
      </c>
      <c r="F35" s="4" t="s">
        <v>316</v>
      </c>
      <c r="G35" s="6" t="s">
        <v>251</v>
      </c>
      <c r="H35" s="17" t="s">
        <v>117</v>
      </c>
      <c r="I35" s="17" t="s">
        <v>52</v>
      </c>
      <c r="J35" s="17" t="s">
        <v>417</v>
      </c>
      <c r="K35" s="42">
        <v>45110</v>
      </c>
      <c r="L35" s="7" t="str">
        <f t="shared" ca="1" si="3"/>
        <v>2 Years 8 Months</v>
      </c>
      <c r="M35" s="7" t="s">
        <v>31</v>
      </c>
      <c r="N35" s="7" t="s">
        <v>31</v>
      </c>
      <c r="O35" s="7" t="s">
        <v>31</v>
      </c>
      <c r="P35" s="6" t="s">
        <v>32</v>
      </c>
      <c r="Q35" s="6" t="s">
        <v>533</v>
      </c>
      <c r="R35" s="14" t="s">
        <v>576</v>
      </c>
      <c r="S35" s="4" t="s">
        <v>577</v>
      </c>
      <c r="T35" s="43" t="s">
        <v>1756</v>
      </c>
      <c r="U35" s="14" t="s">
        <v>578</v>
      </c>
      <c r="V35" s="4" t="s">
        <v>36</v>
      </c>
      <c r="W35" s="10">
        <v>35127</v>
      </c>
      <c r="X35" s="10" t="str">
        <f t="shared" ca="1" si="2"/>
        <v xml:space="preserve">30 Years </v>
      </c>
      <c r="Y35" s="6">
        <v>6005699728</v>
      </c>
      <c r="Z35" s="28" t="s">
        <v>579</v>
      </c>
      <c r="AA35" s="14" t="s">
        <v>580</v>
      </c>
      <c r="AB35" s="4" t="s">
        <v>40</v>
      </c>
      <c r="AC35" s="27" t="s">
        <v>31</v>
      </c>
      <c r="AD35" s="4" t="s">
        <v>41</v>
      </c>
      <c r="AE35" s="13">
        <v>35127</v>
      </c>
      <c r="AF35" s="6" t="s">
        <v>59</v>
      </c>
      <c r="AG35" s="14" t="s">
        <v>60</v>
      </c>
      <c r="AH35" s="18" t="s">
        <v>581</v>
      </c>
      <c r="AI35" s="14" t="s">
        <v>62</v>
      </c>
      <c r="AJ35" s="6" t="s">
        <v>463</v>
      </c>
      <c r="AK35" s="6" t="s">
        <v>582</v>
      </c>
      <c r="AL35" s="6" t="s">
        <v>583</v>
      </c>
      <c r="AM35" s="19" t="s">
        <v>584</v>
      </c>
      <c r="AN35" s="19" t="s">
        <v>585</v>
      </c>
      <c r="AO35" s="19" t="s">
        <v>586</v>
      </c>
      <c r="AP35" s="4" t="s">
        <v>31</v>
      </c>
      <c r="AQ35" t="s">
        <v>47</v>
      </c>
    </row>
    <row r="36" spans="1:43" x14ac:dyDescent="0.35">
      <c r="A36" s="3">
        <f t="shared" si="0"/>
        <v>35</v>
      </c>
      <c r="B36" s="4" t="s">
        <v>23</v>
      </c>
      <c r="C36" s="5" t="s">
        <v>587</v>
      </c>
      <c r="D36" s="20" t="s">
        <v>588</v>
      </c>
      <c r="E36" s="4" t="s">
        <v>589</v>
      </c>
      <c r="F36" s="4" t="s">
        <v>590</v>
      </c>
      <c r="G36" s="6" t="s">
        <v>591</v>
      </c>
      <c r="H36" s="17" t="s">
        <v>96</v>
      </c>
      <c r="I36" s="17" t="s">
        <v>97</v>
      </c>
      <c r="J36" s="20" t="s">
        <v>592</v>
      </c>
      <c r="K36" s="42">
        <v>45190</v>
      </c>
      <c r="L36" s="7" t="str">
        <f t="shared" ca="1" si="3"/>
        <v>2 Years 6 Months</v>
      </c>
      <c r="M36" s="7" t="s">
        <v>31</v>
      </c>
      <c r="N36" s="42" t="s">
        <v>54</v>
      </c>
      <c r="O36" s="7" t="s">
        <v>31</v>
      </c>
      <c r="P36" s="6" t="s">
        <v>32</v>
      </c>
      <c r="Q36" s="6" t="s">
        <v>533</v>
      </c>
      <c r="R36" s="14" t="s">
        <v>593</v>
      </c>
      <c r="S36" s="4" t="s">
        <v>35</v>
      </c>
      <c r="T36" s="29" t="s">
        <v>1757</v>
      </c>
      <c r="U36" s="14" t="s">
        <v>594</v>
      </c>
      <c r="V36" s="4" t="s">
        <v>335</v>
      </c>
      <c r="W36" s="10">
        <v>36229</v>
      </c>
      <c r="X36" s="10" t="str">
        <f t="shared" ca="1" si="2"/>
        <v xml:space="preserve">27 Years </v>
      </c>
      <c r="Y36" s="6">
        <v>8826257030</v>
      </c>
      <c r="Z36" s="28" t="s">
        <v>595</v>
      </c>
      <c r="AA36" s="14" t="s">
        <v>596</v>
      </c>
      <c r="AB36" s="4" t="s">
        <v>40</v>
      </c>
      <c r="AC36" s="12" t="s">
        <v>31</v>
      </c>
      <c r="AD36" s="4" t="s">
        <v>123</v>
      </c>
      <c r="AE36" s="13" t="s">
        <v>31</v>
      </c>
      <c r="AF36" s="6" t="s">
        <v>304</v>
      </c>
      <c r="AG36" s="14" t="s">
        <v>597</v>
      </c>
      <c r="AH36" s="18" t="s">
        <v>598</v>
      </c>
      <c r="AI36" s="14" t="s">
        <v>599</v>
      </c>
      <c r="AJ36" s="6" t="s">
        <v>600</v>
      </c>
      <c r="AK36" s="6" t="s">
        <v>601</v>
      </c>
      <c r="AL36" s="6" t="s">
        <v>602</v>
      </c>
      <c r="AM36" s="19" t="s">
        <v>603</v>
      </c>
      <c r="AN36" s="19" t="s">
        <v>593</v>
      </c>
      <c r="AO36" s="19" t="s">
        <v>181</v>
      </c>
      <c r="AP36" s="4" t="s">
        <v>31</v>
      </c>
      <c r="AQ36" t="s">
        <v>47</v>
      </c>
    </row>
    <row r="37" spans="1:43" x14ac:dyDescent="0.35">
      <c r="A37" s="3">
        <f t="shared" si="0"/>
        <v>36</v>
      </c>
      <c r="B37" s="4" t="s">
        <v>23</v>
      </c>
      <c r="C37" s="5" t="s">
        <v>604</v>
      </c>
      <c r="D37" s="20" t="s">
        <v>605</v>
      </c>
      <c r="E37" s="4" t="s">
        <v>606</v>
      </c>
      <c r="F37" s="4" t="s">
        <v>607</v>
      </c>
      <c r="G37" s="6" t="s">
        <v>608</v>
      </c>
      <c r="H37" s="17" t="s">
        <v>117</v>
      </c>
      <c r="I37" s="17" t="s">
        <v>52</v>
      </c>
      <c r="J37" s="17" t="s">
        <v>345</v>
      </c>
      <c r="K37" s="42">
        <v>45208</v>
      </c>
      <c r="L37" s="7" t="str">
        <f t="shared" ca="1" si="3"/>
        <v>2 Years 5 Months</v>
      </c>
      <c r="M37" s="7" t="s">
        <v>31</v>
      </c>
      <c r="N37" s="42" t="s">
        <v>31</v>
      </c>
      <c r="O37" s="7" t="s">
        <v>31</v>
      </c>
      <c r="P37" s="6" t="s">
        <v>32</v>
      </c>
      <c r="Q37" s="6" t="s">
        <v>609</v>
      </c>
      <c r="R37" s="14" t="s">
        <v>610</v>
      </c>
      <c r="S37" s="4" t="s">
        <v>350</v>
      </c>
      <c r="T37" s="29" t="s">
        <v>1758</v>
      </c>
      <c r="U37" s="14" t="s">
        <v>611</v>
      </c>
      <c r="V37" s="4" t="s">
        <v>36</v>
      </c>
      <c r="W37" s="10">
        <v>35233</v>
      </c>
      <c r="X37" s="10" t="str">
        <f t="shared" ca="1" si="2"/>
        <v xml:space="preserve">29 Years </v>
      </c>
      <c r="Y37" s="6">
        <v>9101746643</v>
      </c>
      <c r="Z37" s="28" t="s">
        <v>612</v>
      </c>
      <c r="AA37" s="14" t="s">
        <v>613</v>
      </c>
      <c r="AB37" s="4" t="s">
        <v>40</v>
      </c>
      <c r="AC37" s="12" t="s">
        <v>31</v>
      </c>
      <c r="AD37" s="4" t="s">
        <v>123</v>
      </c>
      <c r="AE37" s="13" t="s">
        <v>31</v>
      </c>
      <c r="AF37" s="16" t="s">
        <v>59</v>
      </c>
      <c r="AG37" s="14" t="s">
        <v>60</v>
      </c>
      <c r="AH37" s="18" t="s">
        <v>614</v>
      </c>
      <c r="AI37" s="14" t="s">
        <v>615</v>
      </c>
      <c r="AJ37" s="6" t="s">
        <v>106</v>
      </c>
      <c r="AK37" s="6" t="s">
        <v>616</v>
      </c>
      <c r="AL37" s="6" t="s">
        <v>617</v>
      </c>
      <c r="AM37" s="19" t="s">
        <v>618</v>
      </c>
      <c r="AN37" s="19" t="s">
        <v>610</v>
      </c>
      <c r="AO37" s="19" t="s">
        <v>181</v>
      </c>
      <c r="AP37" s="4" t="s">
        <v>31</v>
      </c>
      <c r="AQ37" t="s">
        <v>47</v>
      </c>
    </row>
    <row r="38" spans="1:43" x14ac:dyDescent="0.35">
      <c r="A38" s="3">
        <f t="shared" si="0"/>
        <v>37</v>
      </c>
      <c r="B38" s="4" t="s">
        <v>23</v>
      </c>
      <c r="C38" s="5" t="s">
        <v>619</v>
      </c>
      <c r="D38" s="20" t="s">
        <v>620</v>
      </c>
      <c r="E38" s="4" t="s">
        <v>621</v>
      </c>
      <c r="F38" s="4" t="s">
        <v>297</v>
      </c>
      <c r="G38" s="6" t="s">
        <v>608</v>
      </c>
      <c r="H38" s="17" t="s">
        <v>117</v>
      </c>
      <c r="I38" s="17" t="s">
        <v>52</v>
      </c>
      <c r="J38" s="17" t="s">
        <v>417</v>
      </c>
      <c r="K38" s="42">
        <v>45211</v>
      </c>
      <c r="L38" s="7" t="str">
        <f t="shared" ca="1" si="3"/>
        <v>2 Years 5 Months</v>
      </c>
      <c r="M38" s="7" t="s">
        <v>31</v>
      </c>
      <c r="N38" s="42" t="s">
        <v>31</v>
      </c>
      <c r="O38" s="7" t="s">
        <v>31</v>
      </c>
      <c r="P38" s="6" t="s">
        <v>32</v>
      </c>
      <c r="Q38" s="6" t="s">
        <v>609</v>
      </c>
      <c r="R38" s="14" t="s">
        <v>622</v>
      </c>
      <c r="S38" s="4" t="s">
        <v>419</v>
      </c>
      <c r="T38" s="29" t="s">
        <v>1759</v>
      </c>
      <c r="U38" s="14" t="s">
        <v>623</v>
      </c>
      <c r="V38" s="4" t="s">
        <v>36</v>
      </c>
      <c r="W38" s="10">
        <v>33893</v>
      </c>
      <c r="X38" s="10" t="str">
        <f t="shared" ca="1" si="2"/>
        <v xml:space="preserve">33 Years </v>
      </c>
      <c r="Y38" s="6">
        <v>7006346005</v>
      </c>
      <c r="Z38" s="28" t="s">
        <v>624</v>
      </c>
      <c r="AA38" s="14" t="s">
        <v>625</v>
      </c>
      <c r="AB38" s="4" t="s">
        <v>80</v>
      </c>
      <c r="AC38" s="12">
        <v>101793141134</v>
      </c>
      <c r="AD38" s="4" t="s">
        <v>41</v>
      </c>
      <c r="AE38" s="13">
        <v>45121</v>
      </c>
      <c r="AF38" s="16" t="s">
        <v>354</v>
      </c>
      <c r="AG38" s="14" t="s">
        <v>60</v>
      </c>
      <c r="AH38" s="18" t="s">
        <v>626</v>
      </c>
      <c r="AI38" s="14" t="s">
        <v>627</v>
      </c>
      <c r="AJ38" s="6" t="s">
        <v>106</v>
      </c>
      <c r="AK38" s="6" t="s">
        <v>628</v>
      </c>
      <c r="AL38" s="6" t="s">
        <v>629</v>
      </c>
      <c r="AM38" s="19" t="s">
        <v>630</v>
      </c>
      <c r="AN38" s="19" t="s">
        <v>622</v>
      </c>
      <c r="AO38" s="19" t="s">
        <v>181</v>
      </c>
      <c r="AP38" s="4" t="s">
        <v>31</v>
      </c>
      <c r="AQ38" t="s">
        <v>47</v>
      </c>
    </row>
    <row r="39" spans="1:43" x14ac:dyDescent="0.35">
      <c r="A39" s="3">
        <f t="shared" si="0"/>
        <v>38</v>
      </c>
      <c r="B39" s="4" t="s">
        <v>23</v>
      </c>
      <c r="C39" s="5" t="s">
        <v>631</v>
      </c>
      <c r="D39" s="20" t="s">
        <v>632</v>
      </c>
      <c r="E39" s="4" t="s">
        <v>633</v>
      </c>
      <c r="F39" s="4" t="s">
        <v>634</v>
      </c>
      <c r="G39" s="6" t="s">
        <v>608</v>
      </c>
      <c r="H39" s="17" t="s">
        <v>117</v>
      </c>
      <c r="I39" s="17" t="s">
        <v>52</v>
      </c>
      <c r="J39" s="17" t="s">
        <v>252</v>
      </c>
      <c r="K39" s="42">
        <v>45217</v>
      </c>
      <c r="L39" s="7" t="str">
        <f t="shared" ca="1" si="3"/>
        <v>2 Years 5 Months</v>
      </c>
      <c r="M39" s="7" t="s">
        <v>31</v>
      </c>
      <c r="N39" s="42" t="s">
        <v>31</v>
      </c>
      <c r="O39" s="7" t="s">
        <v>31</v>
      </c>
      <c r="P39" s="6" t="s">
        <v>32</v>
      </c>
      <c r="Q39" s="15" t="s">
        <v>635</v>
      </c>
      <c r="R39" s="14" t="s">
        <v>636</v>
      </c>
      <c r="S39" s="4" t="s">
        <v>637</v>
      </c>
      <c r="T39" s="29" t="s">
        <v>1760</v>
      </c>
      <c r="U39" s="14" t="s">
        <v>638</v>
      </c>
      <c r="V39" s="4" t="s">
        <v>36</v>
      </c>
      <c r="W39" s="10">
        <v>34731</v>
      </c>
      <c r="X39" s="10" t="str">
        <f t="shared" ca="1" si="2"/>
        <v xml:space="preserve">31 Years </v>
      </c>
      <c r="Y39" s="6">
        <v>8830022928</v>
      </c>
      <c r="Z39" s="28" t="s">
        <v>639</v>
      </c>
      <c r="AA39" s="14" t="s">
        <v>640</v>
      </c>
      <c r="AB39" s="4" t="s">
        <v>40</v>
      </c>
      <c r="AC39" s="12" t="s">
        <v>31</v>
      </c>
      <c r="AD39" s="4" t="s">
        <v>41</v>
      </c>
      <c r="AE39" s="13">
        <v>45994</v>
      </c>
      <c r="AF39" s="16" t="s">
        <v>288</v>
      </c>
      <c r="AG39" s="14" t="s">
        <v>371</v>
      </c>
      <c r="AH39" s="18" t="s">
        <v>641</v>
      </c>
      <c r="AI39" s="14" t="s">
        <v>642</v>
      </c>
      <c r="AJ39" s="6" t="s">
        <v>106</v>
      </c>
      <c r="AK39" s="6" t="s">
        <v>643</v>
      </c>
      <c r="AL39" s="6" t="s">
        <v>644</v>
      </c>
      <c r="AM39" s="19" t="s">
        <v>645</v>
      </c>
      <c r="AN39" s="19" t="s">
        <v>646</v>
      </c>
      <c r="AO39" s="19" t="s">
        <v>90</v>
      </c>
      <c r="AP39" s="4" t="s">
        <v>31</v>
      </c>
      <c r="AQ39" t="s">
        <v>47</v>
      </c>
    </row>
    <row r="40" spans="1:43" x14ac:dyDescent="0.35">
      <c r="A40" s="3">
        <f t="shared" si="0"/>
        <v>39</v>
      </c>
      <c r="B40" s="4" t="s">
        <v>23</v>
      </c>
      <c r="C40" s="5" t="s">
        <v>647</v>
      </c>
      <c r="D40" s="20" t="s">
        <v>648</v>
      </c>
      <c r="E40" s="4" t="s">
        <v>649</v>
      </c>
      <c r="F40" s="4" t="s">
        <v>27</v>
      </c>
      <c r="G40" s="6" t="s">
        <v>650</v>
      </c>
      <c r="H40" s="17" t="s">
        <v>439</v>
      </c>
      <c r="I40" s="17" t="s">
        <v>75</v>
      </c>
      <c r="J40" s="17" t="s">
        <v>436</v>
      </c>
      <c r="K40" s="42">
        <v>45236</v>
      </c>
      <c r="L40" s="7" t="str">
        <f t="shared" ca="1" si="3"/>
        <v>2 Years 4 Months</v>
      </c>
      <c r="M40" s="7" t="s">
        <v>31</v>
      </c>
      <c r="N40" s="42" t="s">
        <v>31</v>
      </c>
      <c r="O40" s="7" t="s">
        <v>31</v>
      </c>
      <c r="P40" s="6" t="s">
        <v>32</v>
      </c>
      <c r="Q40" s="6" t="s">
        <v>609</v>
      </c>
      <c r="R40" s="14" t="s">
        <v>651</v>
      </c>
      <c r="S40" s="4" t="s">
        <v>35</v>
      </c>
      <c r="T40" s="29" t="s">
        <v>1761</v>
      </c>
      <c r="U40" s="14" t="s">
        <v>652</v>
      </c>
      <c r="V40" s="4" t="s">
        <v>36</v>
      </c>
      <c r="W40" s="10">
        <v>36316</v>
      </c>
      <c r="X40" s="10" t="str">
        <f t="shared" ca="1" si="2"/>
        <v xml:space="preserve">26 Years </v>
      </c>
      <c r="Y40" s="6">
        <v>8941093130</v>
      </c>
      <c r="Z40" s="28" t="s">
        <v>653</v>
      </c>
      <c r="AA40" s="14" t="s">
        <v>654</v>
      </c>
      <c r="AB40" s="4" t="s">
        <v>80</v>
      </c>
      <c r="AC40" s="12">
        <v>101651875106</v>
      </c>
      <c r="AD40" s="4" t="s">
        <v>123</v>
      </c>
      <c r="AE40" s="13" t="s">
        <v>31</v>
      </c>
      <c r="AF40" s="16" t="s">
        <v>655</v>
      </c>
      <c r="AG40" s="14" t="s">
        <v>656</v>
      </c>
      <c r="AH40" s="18" t="s">
        <v>657</v>
      </c>
      <c r="AI40" s="14" t="s">
        <v>658</v>
      </c>
      <c r="AJ40" s="6" t="s">
        <v>106</v>
      </c>
      <c r="AK40" s="6" t="s">
        <v>659</v>
      </c>
      <c r="AL40" s="6" t="s">
        <v>660</v>
      </c>
      <c r="AM40" s="19" t="s">
        <v>661</v>
      </c>
      <c r="AN40" s="19" t="s">
        <v>662</v>
      </c>
      <c r="AO40" s="19" t="s">
        <v>68</v>
      </c>
      <c r="AP40" s="4" t="s">
        <v>31</v>
      </c>
      <c r="AQ40" t="s">
        <v>47</v>
      </c>
    </row>
    <row r="41" spans="1:43" x14ac:dyDescent="0.35">
      <c r="A41" s="3">
        <f t="shared" si="0"/>
        <v>40</v>
      </c>
      <c r="B41" s="4" t="s">
        <v>23</v>
      </c>
      <c r="C41" s="5" t="s">
        <v>663</v>
      </c>
      <c r="D41" s="20" t="s">
        <v>417</v>
      </c>
      <c r="E41" s="4" t="s">
        <v>664</v>
      </c>
      <c r="F41" s="4" t="s">
        <v>665</v>
      </c>
      <c r="G41" s="6" t="s">
        <v>666</v>
      </c>
      <c r="H41" s="17" t="s">
        <v>117</v>
      </c>
      <c r="I41" s="17" t="s">
        <v>52</v>
      </c>
      <c r="J41" s="17" t="s">
        <v>667</v>
      </c>
      <c r="K41" s="42">
        <v>45245</v>
      </c>
      <c r="L41" s="7" t="str">
        <f t="shared" ca="1" si="3"/>
        <v>2 Years 4 Months</v>
      </c>
      <c r="M41" s="7" t="s">
        <v>31</v>
      </c>
      <c r="N41" s="42" t="s">
        <v>31</v>
      </c>
      <c r="O41" s="7" t="s">
        <v>31</v>
      </c>
      <c r="P41" s="6" t="s">
        <v>32</v>
      </c>
      <c r="Q41" s="6" t="s">
        <v>668</v>
      </c>
      <c r="R41" s="14" t="s">
        <v>669</v>
      </c>
      <c r="S41" s="4" t="s">
        <v>419</v>
      </c>
      <c r="T41" s="29" t="s">
        <v>1762</v>
      </c>
      <c r="U41" s="14" t="s">
        <v>670</v>
      </c>
      <c r="V41" s="4" t="s">
        <v>36</v>
      </c>
      <c r="W41" s="10">
        <v>34316</v>
      </c>
      <c r="X41" s="10" t="str">
        <f t="shared" ca="1" si="2"/>
        <v xml:space="preserve">32 Years </v>
      </c>
      <c r="Y41" s="6">
        <v>6006141745</v>
      </c>
      <c r="Z41" s="28" t="s">
        <v>671</v>
      </c>
      <c r="AA41" s="14" t="s">
        <v>672</v>
      </c>
      <c r="AB41" s="4" t="s">
        <v>40</v>
      </c>
      <c r="AC41" s="12" t="s">
        <v>31</v>
      </c>
      <c r="AD41" s="4" t="s">
        <v>41</v>
      </c>
      <c r="AE41" s="13">
        <v>45602</v>
      </c>
      <c r="AF41" s="16" t="s">
        <v>59</v>
      </c>
      <c r="AG41" s="14" t="s">
        <v>60</v>
      </c>
      <c r="AH41" s="18" t="s">
        <v>673</v>
      </c>
      <c r="AI41" s="14" t="s">
        <v>674</v>
      </c>
      <c r="AJ41" s="6" t="s">
        <v>85</v>
      </c>
      <c r="AK41" s="6" t="s">
        <v>675</v>
      </c>
      <c r="AL41" s="6" t="s">
        <v>676</v>
      </c>
      <c r="AM41" s="19" t="s">
        <v>677</v>
      </c>
      <c r="AN41" s="19" t="s">
        <v>678</v>
      </c>
      <c r="AO41" s="19" t="s">
        <v>181</v>
      </c>
      <c r="AP41" s="4" t="s">
        <v>31</v>
      </c>
      <c r="AQ41" t="s">
        <v>47</v>
      </c>
    </row>
    <row r="42" spans="1:43" x14ac:dyDescent="0.35">
      <c r="A42" s="3">
        <f t="shared" si="0"/>
        <v>41</v>
      </c>
      <c r="B42" s="4" t="s">
        <v>23</v>
      </c>
      <c r="C42" s="5" t="s">
        <v>679</v>
      </c>
      <c r="D42" s="20" t="s">
        <v>680</v>
      </c>
      <c r="E42" s="4" t="s">
        <v>681</v>
      </c>
      <c r="F42" s="4" t="s">
        <v>682</v>
      </c>
      <c r="G42" s="6" t="s">
        <v>683</v>
      </c>
      <c r="H42" s="17" t="s">
        <v>149</v>
      </c>
      <c r="I42" s="17" t="s">
        <v>150</v>
      </c>
      <c r="J42" s="17" t="s">
        <v>501</v>
      </c>
      <c r="K42" s="42">
        <v>45278</v>
      </c>
      <c r="L42" s="7" t="str">
        <f t="shared" ca="1" si="3"/>
        <v>2 Years 3 Months</v>
      </c>
      <c r="M42" s="7" t="s">
        <v>31</v>
      </c>
      <c r="N42" s="42" t="s">
        <v>31</v>
      </c>
      <c r="O42" s="7" t="s">
        <v>31</v>
      </c>
      <c r="P42" s="6" t="s">
        <v>32</v>
      </c>
      <c r="Q42" s="6" t="s">
        <v>533</v>
      </c>
      <c r="R42" s="14" t="s">
        <v>684</v>
      </c>
      <c r="S42" s="4" t="s">
        <v>153</v>
      </c>
      <c r="T42" s="29" t="s">
        <v>1763</v>
      </c>
      <c r="U42" s="14" t="s">
        <v>685</v>
      </c>
      <c r="V42" s="4" t="s">
        <v>36</v>
      </c>
      <c r="W42" s="10">
        <v>33970</v>
      </c>
      <c r="X42" s="10" t="str">
        <f t="shared" ca="1" si="2"/>
        <v xml:space="preserve">33 Years </v>
      </c>
      <c r="Y42" s="6">
        <v>9678911486</v>
      </c>
      <c r="Z42" s="28" t="s">
        <v>686</v>
      </c>
      <c r="AA42" s="14" t="s">
        <v>687</v>
      </c>
      <c r="AB42" s="4" t="s">
        <v>80</v>
      </c>
      <c r="AC42" s="12">
        <v>100524126460</v>
      </c>
      <c r="AD42" s="4" t="s">
        <v>41</v>
      </c>
      <c r="AE42" s="13">
        <v>40868</v>
      </c>
      <c r="AF42" s="16" t="s">
        <v>688</v>
      </c>
      <c r="AH42" s="18" t="s">
        <v>689</v>
      </c>
      <c r="AI42" s="14" t="s">
        <v>690</v>
      </c>
      <c r="AJ42" s="6" t="s">
        <v>63</v>
      </c>
      <c r="AK42" s="6" t="s">
        <v>691</v>
      </c>
      <c r="AL42" s="6" t="s">
        <v>692</v>
      </c>
      <c r="AM42" s="19" t="s">
        <v>693</v>
      </c>
      <c r="AN42" s="19" t="s">
        <v>694</v>
      </c>
      <c r="AO42" s="19" t="s">
        <v>90</v>
      </c>
      <c r="AP42" s="4" t="s">
        <v>31</v>
      </c>
      <c r="AQ42" t="s">
        <v>47</v>
      </c>
    </row>
    <row r="43" spans="1:43" x14ac:dyDescent="0.35">
      <c r="A43" s="3">
        <f t="shared" si="0"/>
        <v>42</v>
      </c>
      <c r="B43" s="4" t="s">
        <v>23</v>
      </c>
      <c r="C43" s="5" t="s">
        <v>695</v>
      </c>
      <c r="D43" s="20" t="s">
        <v>696</v>
      </c>
      <c r="E43" s="4" t="s">
        <v>697</v>
      </c>
      <c r="F43" s="4" t="s">
        <v>698</v>
      </c>
      <c r="G43" s="6" t="s">
        <v>699</v>
      </c>
      <c r="H43" s="17" t="s">
        <v>149</v>
      </c>
      <c r="I43" s="17" t="s">
        <v>150</v>
      </c>
      <c r="J43" s="17" t="s">
        <v>501</v>
      </c>
      <c r="K43" s="42">
        <v>45278</v>
      </c>
      <c r="L43" s="7" t="str">
        <f t="shared" ca="1" si="3"/>
        <v>2 Years 3 Months</v>
      </c>
      <c r="M43" s="7" t="s">
        <v>31</v>
      </c>
      <c r="N43" s="42" t="s">
        <v>31</v>
      </c>
      <c r="O43" s="7" t="s">
        <v>31</v>
      </c>
      <c r="P43" s="6" t="s">
        <v>32</v>
      </c>
      <c r="Q43" s="6" t="s">
        <v>533</v>
      </c>
      <c r="R43" s="14" t="s">
        <v>700</v>
      </c>
      <c r="S43" s="4" t="s">
        <v>153</v>
      </c>
      <c r="T43" s="29" t="s">
        <v>1764</v>
      </c>
      <c r="U43" s="14" t="s">
        <v>701</v>
      </c>
      <c r="V43" s="4" t="s">
        <v>36</v>
      </c>
      <c r="W43" s="10">
        <v>35356</v>
      </c>
      <c r="X43" s="10" t="str">
        <f t="shared" ca="1" si="2"/>
        <v xml:space="preserve">29 Years </v>
      </c>
      <c r="Y43" s="6">
        <v>8131075871</v>
      </c>
      <c r="Z43" s="28" t="s">
        <v>702</v>
      </c>
      <c r="AA43" s="14" t="s">
        <v>703</v>
      </c>
      <c r="AB43" s="4" t="s">
        <v>80</v>
      </c>
      <c r="AC43" s="12" t="s">
        <v>704</v>
      </c>
      <c r="AD43" s="4" t="s">
        <v>123</v>
      </c>
      <c r="AE43" s="13" t="s">
        <v>31</v>
      </c>
      <c r="AF43" s="16" t="s">
        <v>407</v>
      </c>
      <c r="AH43" s="18" t="s">
        <v>705</v>
      </c>
      <c r="AI43" s="14" t="s">
        <v>706</v>
      </c>
      <c r="AJ43" s="6" t="s">
        <v>63</v>
      </c>
      <c r="AK43" s="6" t="s">
        <v>707</v>
      </c>
      <c r="AL43" s="6" t="s">
        <v>708</v>
      </c>
      <c r="AM43" s="19" t="s">
        <v>709</v>
      </c>
      <c r="AN43" s="19" t="s">
        <v>710</v>
      </c>
      <c r="AO43" s="19" t="s">
        <v>181</v>
      </c>
      <c r="AP43" s="4" t="s">
        <v>31</v>
      </c>
      <c r="AQ43" t="s">
        <v>47</v>
      </c>
    </row>
    <row r="44" spans="1:43" x14ac:dyDescent="0.35">
      <c r="A44" s="3">
        <f t="shared" si="0"/>
        <v>43</v>
      </c>
      <c r="B44" s="4" t="s">
        <v>23</v>
      </c>
      <c r="C44" s="5" t="s">
        <v>711</v>
      </c>
      <c r="D44" s="20" t="s">
        <v>712</v>
      </c>
      <c r="E44" s="4" t="s">
        <v>713</v>
      </c>
      <c r="F44" s="4" t="s">
        <v>714</v>
      </c>
      <c r="G44" s="6" t="s">
        <v>715</v>
      </c>
      <c r="H44" s="17" t="s">
        <v>96</v>
      </c>
      <c r="I44" s="17" t="s">
        <v>97</v>
      </c>
      <c r="J44" s="17" t="s">
        <v>592</v>
      </c>
      <c r="K44" s="42">
        <v>45293</v>
      </c>
      <c r="L44" s="7" t="str">
        <f t="shared" ca="1" si="3"/>
        <v>2 Years 2 Months</v>
      </c>
      <c r="M44" s="7" t="s">
        <v>31</v>
      </c>
      <c r="N44" s="42" t="s">
        <v>54</v>
      </c>
      <c r="O44" s="7" t="s">
        <v>31</v>
      </c>
      <c r="P44" s="6" t="s">
        <v>32</v>
      </c>
      <c r="Q44" s="6" t="s">
        <v>668</v>
      </c>
      <c r="R44" s="14" t="s">
        <v>716</v>
      </c>
      <c r="S44" s="4" t="s">
        <v>35</v>
      </c>
      <c r="T44" s="29" t="s">
        <v>1765</v>
      </c>
      <c r="U44" s="14" t="s">
        <v>717</v>
      </c>
      <c r="V44" s="4" t="s">
        <v>335</v>
      </c>
      <c r="W44" s="10">
        <v>35034</v>
      </c>
      <c r="X44" s="10" t="str">
        <f t="shared" ca="1" si="2"/>
        <v xml:space="preserve">30 Years </v>
      </c>
      <c r="Y44" s="6">
        <v>9005957660</v>
      </c>
      <c r="Z44" s="28" t="s">
        <v>718</v>
      </c>
      <c r="AA44" s="14" t="s">
        <v>719</v>
      </c>
      <c r="AB44" s="4" t="s">
        <v>40</v>
      </c>
      <c r="AC44" s="12" t="s">
        <v>31</v>
      </c>
      <c r="AD44" s="4" t="s">
        <v>123</v>
      </c>
      <c r="AE44" s="13" t="s">
        <v>31</v>
      </c>
      <c r="AF44" s="16" t="s">
        <v>304</v>
      </c>
      <c r="AG44" s="14" t="s">
        <v>96</v>
      </c>
      <c r="AH44" s="18" t="s">
        <v>720</v>
      </c>
      <c r="AI44" s="14" t="s">
        <v>721</v>
      </c>
      <c r="AJ44" s="6" t="s">
        <v>85</v>
      </c>
      <c r="AK44" s="6" t="s">
        <v>722</v>
      </c>
      <c r="AL44" s="6" t="s">
        <v>723</v>
      </c>
      <c r="AM44" s="19">
        <v>9598324779</v>
      </c>
      <c r="AN44" s="19" t="s">
        <v>724</v>
      </c>
      <c r="AO44" s="19" t="s">
        <v>343</v>
      </c>
      <c r="AP44" s="4" t="s">
        <v>31</v>
      </c>
      <c r="AQ44" t="s">
        <v>47</v>
      </c>
    </row>
    <row r="45" spans="1:43" x14ac:dyDescent="0.35">
      <c r="A45" s="3">
        <f t="shared" si="0"/>
        <v>44</v>
      </c>
      <c r="B45" s="4" t="s">
        <v>23</v>
      </c>
      <c r="C45" s="5" t="s">
        <v>725</v>
      </c>
      <c r="D45" s="20" t="s">
        <v>726</v>
      </c>
      <c r="E45" s="4" t="s">
        <v>727</v>
      </c>
      <c r="F45" s="4" t="s">
        <v>728</v>
      </c>
      <c r="G45" s="6" t="s">
        <v>715</v>
      </c>
      <c r="H45" s="17" t="s">
        <v>96</v>
      </c>
      <c r="I45" s="17" t="s">
        <v>97</v>
      </c>
      <c r="J45" s="17" t="s">
        <v>92</v>
      </c>
      <c r="K45" s="42">
        <v>45299</v>
      </c>
      <c r="L45" s="7" t="str">
        <f t="shared" ca="1" si="3"/>
        <v>2 Years 2 Months</v>
      </c>
      <c r="M45" s="7" t="s">
        <v>31</v>
      </c>
      <c r="N45" s="42" t="s">
        <v>54</v>
      </c>
      <c r="O45" s="7" t="s">
        <v>31</v>
      </c>
      <c r="P45" s="6" t="s">
        <v>32</v>
      </c>
      <c r="Q45" s="6" t="s">
        <v>668</v>
      </c>
      <c r="R45" s="14" t="s">
        <v>729</v>
      </c>
      <c r="S45" s="4" t="s">
        <v>35</v>
      </c>
      <c r="T45" s="29" t="s">
        <v>1766</v>
      </c>
      <c r="U45" s="14" t="s">
        <v>730</v>
      </c>
      <c r="V45" s="4" t="s">
        <v>36</v>
      </c>
      <c r="W45" s="10">
        <v>35351</v>
      </c>
      <c r="X45" s="10" t="str">
        <f t="shared" ca="1" si="2"/>
        <v xml:space="preserve">29 Years </v>
      </c>
      <c r="Y45" s="6">
        <v>8171035056</v>
      </c>
      <c r="Z45" s="28" t="s">
        <v>731</v>
      </c>
      <c r="AA45" s="14" t="s">
        <v>732</v>
      </c>
      <c r="AB45" s="4" t="s">
        <v>80</v>
      </c>
      <c r="AC45" s="12">
        <v>101407690541</v>
      </c>
      <c r="AD45" s="4" t="s">
        <v>123</v>
      </c>
      <c r="AE45" s="13" t="s">
        <v>31</v>
      </c>
      <c r="AF45" s="16" t="s">
        <v>304</v>
      </c>
      <c r="AG45" s="14" t="s">
        <v>96</v>
      </c>
      <c r="AH45" s="18" t="s">
        <v>733</v>
      </c>
      <c r="AI45" s="14" t="s">
        <v>734</v>
      </c>
      <c r="AJ45" s="6" t="s">
        <v>85</v>
      </c>
      <c r="AK45" s="6" t="s">
        <v>735</v>
      </c>
      <c r="AL45" s="6" t="s">
        <v>736</v>
      </c>
      <c r="AM45" s="19" t="s">
        <v>737</v>
      </c>
      <c r="AN45" s="19" t="s">
        <v>738</v>
      </c>
      <c r="AO45" s="19" t="s">
        <v>68</v>
      </c>
      <c r="AP45" s="4" t="s">
        <v>31</v>
      </c>
      <c r="AQ45" t="s">
        <v>47</v>
      </c>
    </row>
    <row r="46" spans="1:43" x14ac:dyDescent="0.35">
      <c r="A46" s="3">
        <f t="shared" si="0"/>
        <v>45</v>
      </c>
      <c r="B46" s="4" t="s">
        <v>23</v>
      </c>
      <c r="C46" s="5" t="s">
        <v>739</v>
      </c>
      <c r="D46" s="20" t="s">
        <v>740</v>
      </c>
      <c r="E46" s="4" t="s">
        <v>741</v>
      </c>
      <c r="F46" s="4" t="s">
        <v>742</v>
      </c>
      <c r="G46" s="6" t="s">
        <v>743</v>
      </c>
      <c r="H46" s="17" t="s">
        <v>439</v>
      </c>
      <c r="I46" s="17" t="s">
        <v>75</v>
      </c>
      <c r="J46" s="17" t="s">
        <v>436</v>
      </c>
      <c r="K46" s="42">
        <v>45313</v>
      </c>
      <c r="L46" s="7" t="str">
        <f t="shared" ca="1" si="3"/>
        <v>2 Years 2 Months</v>
      </c>
      <c r="M46" s="7" t="s">
        <v>31</v>
      </c>
      <c r="N46" s="42" t="s">
        <v>54</v>
      </c>
      <c r="O46" s="7" t="s">
        <v>31</v>
      </c>
      <c r="P46" s="6" t="s">
        <v>32</v>
      </c>
      <c r="Q46" s="6" t="s">
        <v>533</v>
      </c>
      <c r="R46" s="14" t="s">
        <v>744</v>
      </c>
      <c r="S46" s="4" t="s">
        <v>35</v>
      </c>
      <c r="T46" s="29" t="s">
        <v>1767</v>
      </c>
      <c r="U46" s="14" t="s">
        <v>745</v>
      </c>
      <c r="V46" s="4" t="s">
        <v>335</v>
      </c>
      <c r="W46" s="10">
        <v>35438</v>
      </c>
      <c r="X46" s="10" t="str">
        <f t="shared" ca="1" si="2"/>
        <v xml:space="preserve">29 Years </v>
      </c>
      <c r="Y46" s="6">
        <v>7052644145</v>
      </c>
      <c r="Z46" s="28" t="s">
        <v>746</v>
      </c>
      <c r="AA46" s="14" t="s">
        <v>747</v>
      </c>
      <c r="AB46" s="4" t="s">
        <v>80</v>
      </c>
      <c r="AC46" s="12">
        <v>101422096801</v>
      </c>
      <c r="AD46" s="4" t="s">
        <v>123</v>
      </c>
      <c r="AE46" s="13" t="s">
        <v>31</v>
      </c>
      <c r="AF46" s="16" t="s">
        <v>354</v>
      </c>
      <c r="AG46" s="14" t="s">
        <v>60</v>
      </c>
      <c r="AH46" s="18" t="s">
        <v>748</v>
      </c>
      <c r="AI46" s="14" t="s">
        <v>749</v>
      </c>
      <c r="AJ46" s="6" t="s">
        <v>85</v>
      </c>
      <c r="AK46" s="6" t="s">
        <v>750</v>
      </c>
      <c r="AL46" s="6" t="s">
        <v>751</v>
      </c>
      <c r="AM46" s="19" t="s">
        <v>752</v>
      </c>
      <c r="AN46" s="19" t="s">
        <v>753</v>
      </c>
      <c r="AO46" s="19" t="s">
        <v>754</v>
      </c>
      <c r="AP46" s="4" t="s">
        <v>31</v>
      </c>
      <c r="AQ46" t="s">
        <v>47</v>
      </c>
    </row>
    <row r="47" spans="1:43" x14ac:dyDescent="0.35">
      <c r="A47" s="3">
        <f t="shared" si="0"/>
        <v>46</v>
      </c>
      <c r="B47" s="4" t="s">
        <v>23</v>
      </c>
      <c r="C47" s="5" t="s">
        <v>755</v>
      </c>
      <c r="D47" s="20" t="s">
        <v>592</v>
      </c>
      <c r="E47" s="4" t="s">
        <v>756</v>
      </c>
      <c r="F47" s="4" t="s">
        <v>757</v>
      </c>
      <c r="G47" s="6" t="s">
        <v>758</v>
      </c>
      <c r="H47" s="17" t="s">
        <v>96</v>
      </c>
      <c r="I47" s="17" t="s">
        <v>97</v>
      </c>
      <c r="J47" s="17" t="s">
        <v>97</v>
      </c>
      <c r="K47" s="42">
        <v>45315</v>
      </c>
      <c r="L47" s="7" t="str">
        <f t="shared" ca="1" si="3"/>
        <v>2 Years 1 Months</v>
      </c>
      <c r="M47" s="7" t="s">
        <v>31</v>
      </c>
      <c r="N47" s="42" t="s">
        <v>54</v>
      </c>
      <c r="O47" s="7" t="s">
        <v>31</v>
      </c>
      <c r="P47" s="6" t="s">
        <v>32</v>
      </c>
      <c r="Q47" s="6" t="s">
        <v>533</v>
      </c>
      <c r="R47" s="14" t="s">
        <v>759</v>
      </c>
      <c r="S47" s="4" t="s">
        <v>35</v>
      </c>
      <c r="T47" s="29" t="s">
        <v>1768</v>
      </c>
      <c r="U47" s="14" t="s">
        <v>760</v>
      </c>
      <c r="V47" s="4" t="s">
        <v>36</v>
      </c>
      <c r="W47" s="10">
        <v>33062</v>
      </c>
      <c r="X47" s="10" t="str">
        <f t="shared" ca="1" si="2"/>
        <v xml:space="preserve">35 Years </v>
      </c>
      <c r="Y47" s="6">
        <v>9871024285</v>
      </c>
      <c r="Z47" s="28" t="s">
        <v>761</v>
      </c>
      <c r="AA47" s="14" t="s">
        <v>762</v>
      </c>
      <c r="AB47" s="4" t="s">
        <v>80</v>
      </c>
      <c r="AC47" s="12">
        <v>100176905344</v>
      </c>
      <c r="AD47" s="4" t="s">
        <v>41</v>
      </c>
      <c r="AE47" s="13">
        <v>45619</v>
      </c>
      <c r="AF47" s="16" t="s">
        <v>103</v>
      </c>
      <c r="AH47" s="18" t="s">
        <v>763</v>
      </c>
      <c r="AI47" s="14" t="s">
        <v>764</v>
      </c>
      <c r="AJ47" s="6" t="s">
        <v>63</v>
      </c>
      <c r="AK47" s="6" t="s">
        <v>765</v>
      </c>
      <c r="AL47" s="6" t="s">
        <v>766</v>
      </c>
      <c r="AM47" s="19" t="s">
        <v>767</v>
      </c>
      <c r="AN47" s="19" t="s">
        <v>768</v>
      </c>
      <c r="AO47" s="19" t="s">
        <v>586</v>
      </c>
      <c r="AP47" s="4" t="s">
        <v>31</v>
      </c>
      <c r="AQ47" t="s">
        <v>47</v>
      </c>
    </row>
    <row r="48" spans="1:43" x14ac:dyDescent="0.35">
      <c r="A48" s="3">
        <f t="shared" si="0"/>
        <v>47</v>
      </c>
      <c r="B48" s="4" t="s">
        <v>23</v>
      </c>
      <c r="C48" s="5" t="s">
        <v>769</v>
      </c>
      <c r="D48" s="20" t="s">
        <v>770</v>
      </c>
      <c r="E48" s="4" t="s">
        <v>415</v>
      </c>
      <c r="F48" s="4" t="s">
        <v>72</v>
      </c>
      <c r="G48" s="6" t="s">
        <v>608</v>
      </c>
      <c r="H48" s="17" t="s">
        <v>51</v>
      </c>
      <c r="I48" s="17" t="s">
        <v>52</v>
      </c>
      <c r="J48" s="17" t="s">
        <v>53</v>
      </c>
      <c r="K48" s="42">
        <v>45327</v>
      </c>
      <c r="L48" s="7" t="str">
        <f t="shared" ca="1" si="3"/>
        <v>2 Years 1 Months</v>
      </c>
      <c r="M48" s="7" t="s">
        <v>31</v>
      </c>
      <c r="N48" s="42" t="s">
        <v>31</v>
      </c>
      <c r="O48" s="7" t="s">
        <v>31</v>
      </c>
      <c r="P48" s="6" t="s">
        <v>32</v>
      </c>
      <c r="Q48" s="6" t="s">
        <v>533</v>
      </c>
      <c r="R48" s="14" t="s">
        <v>771</v>
      </c>
      <c r="S48" s="4" t="s">
        <v>35</v>
      </c>
      <c r="T48" s="29" t="s">
        <v>1769</v>
      </c>
      <c r="U48" s="14" t="s">
        <v>772</v>
      </c>
      <c r="V48" s="4" t="s">
        <v>36</v>
      </c>
      <c r="W48" s="10">
        <v>33100</v>
      </c>
      <c r="X48" s="10" t="str">
        <f t="shared" ca="1" si="2"/>
        <v xml:space="preserve">35 Years </v>
      </c>
      <c r="Y48" s="6">
        <v>9304423589</v>
      </c>
      <c r="Z48" s="28" t="s">
        <v>773</v>
      </c>
      <c r="AA48" s="14" t="s">
        <v>774</v>
      </c>
      <c r="AB48" s="4" t="s">
        <v>40</v>
      </c>
      <c r="AC48" s="12" t="s">
        <v>31</v>
      </c>
      <c r="AD48" s="4" t="s">
        <v>41</v>
      </c>
      <c r="AE48" s="13">
        <v>44244</v>
      </c>
      <c r="AF48" s="16" t="s">
        <v>59</v>
      </c>
      <c r="AG48" s="14" t="s">
        <v>371</v>
      </c>
      <c r="AH48" s="18" t="s">
        <v>775</v>
      </c>
      <c r="AI48" s="14" t="s">
        <v>776</v>
      </c>
      <c r="AJ48" s="6" t="s">
        <v>63</v>
      </c>
      <c r="AK48" s="6" t="s">
        <v>777</v>
      </c>
      <c r="AL48" s="6" t="s">
        <v>778</v>
      </c>
      <c r="AM48" s="19" t="s">
        <v>779</v>
      </c>
      <c r="AN48" s="19" t="s">
        <v>780</v>
      </c>
      <c r="AO48" s="19" t="s">
        <v>90</v>
      </c>
      <c r="AP48" s="4" t="s">
        <v>781</v>
      </c>
      <c r="AQ48" t="s">
        <v>47</v>
      </c>
    </row>
    <row r="49" spans="1:43" x14ac:dyDescent="0.35">
      <c r="A49" s="3">
        <f t="shared" si="0"/>
        <v>48</v>
      </c>
      <c r="B49" s="4" t="s">
        <v>23</v>
      </c>
      <c r="C49" s="5" t="s">
        <v>782</v>
      </c>
      <c r="D49" s="20" t="s">
        <v>783</v>
      </c>
      <c r="E49" s="4" t="s">
        <v>784</v>
      </c>
      <c r="F49" s="4" t="s">
        <v>785</v>
      </c>
      <c r="G49" s="6" t="s">
        <v>608</v>
      </c>
      <c r="H49" s="17" t="s">
        <v>117</v>
      </c>
      <c r="I49" s="17" t="s">
        <v>52</v>
      </c>
      <c r="J49" s="17" t="s">
        <v>417</v>
      </c>
      <c r="K49" s="7">
        <v>45328</v>
      </c>
      <c r="L49" s="7" t="str">
        <f t="shared" ca="1" si="3"/>
        <v>2 Years 1 Months</v>
      </c>
      <c r="M49" s="7" t="s">
        <v>31</v>
      </c>
      <c r="N49" s="42" t="s">
        <v>31</v>
      </c>
      <c r="O49" s="7" t="s">
        <v>31</v>
      </c>
      <c r="P49" s="6" t="s">
        <v>32</v>
      </c>
      <c r="Q49" s="15" t="s">
        <v>635</v>
      </c>
      <c r="R49" s="6" t="s">
        <v>786</v>
      </c>
      <c r="S49" s="4" t="s">
        <v>419</v>
      </c>
      <c r="T49" s="29" t="s">
        <v>1770</v>
      </c>
      <c r="U49" s="14" t="s">
        <v>787</v>
      </c>
      <c r="V49" s="4" t="s">
        <v>36</v>
      </c>
      <c r="W49" s="10">
        <v>35509</v>
      </c>
      <c r="X49" s="10" t="str">
        <f t="shared" ca="1" si="2"/>
        <v xml:space="preserve">29 Years </v>
      </c>
      <c r="Y49" s="6">
        <v>7051884431</v>
      </c>
      <c r="Z49" s="28" t="s">
        <v>788</v>
      </c>
      <c r="AA49" s="44" t="s">
        <v>789</v>
      </c>
      <c r="AB49" s="4" t="s">
        <v>40</v>
      </c>
      <c r="AC49" s="22" t="s">
        <v>31</v>
      </c>
      <c r="AD49" s="4" t="s">
        <v>123</v>
      </c>
      <c r="AE49" s="13" t="s">
        <v>31</v>
      </c>
      <c r="AF49" s="16" t="s">
        <v>288</v>
      </c>
      <c r="AH49" s="18" t="s">
        <v>790</v>
      </c>
      <c r="AI49" s="14" t="s">
        <v>791</v>
      </c>
      <c r="AJ49" s="6" t="s">
        <v>161</v>
      </c>
      <c r="AK49" s="6" t="s">
        <v>792</v>
      </c>
      <c r="AL49" s="6" t="s">
        <v>793</v>
      </c>
      <c r="AM49" s="19" t="s">
        <v>794</v>
      </c>
      <c r="AN49" s="21" t="s">
        <v>795</v>
      </c>
      <c r="AO49" s="19" t="s">
        <v>312</v>
      </c>
      <c r="AP49" s="4" t="s">
        <v>781</v>
      </c>
      <c r="AQ49" t="s">
        <v>47</v>
      </c>
    </row>
    <row r="50" spans="1:43" x14ac:dyDescent="0.35">
      <c r="A50" s="3">
        <f t="shared" si="0"/>
        <v>49</v>
      </c>
      <c r="B50" s="4" t="s">
        <v>23</v>
      </c>
      <c r="C50" s="5" t="s">
        <v>796</v>
      </c>
      <c r="D50" s="20" t="s">
        <v>797</v>
      </c>
      <c r="E50" s="4" t="s">
        <v>798</v>
      </c>
      <c r="F50" s="4" t="s">
        <v>799</v>
      </c>
      <c r="G50" s="6" t="s">
        <v>800</v>
      </c>
      <c r="H50" s="17" t="s">
        <v>801</v>
      </c>
      <c r="I50" s="17" t="s">
        <v>150</v>
      </c>
      <c r="J50" s="17" t="s">
        <v>150</v>
      </c>
      <c r="K50" s="7">
        <v>45334</v>
      </c>
      <c r="L50" s="7" t="str">
        <f t="shared" ca="1" si="3"/>
        <v>2 Years 1 Months</v>
      </c>
      <c r="M50" s="7" t="s">
        <v>31</v>
      </c>
      <c r="N50" s="42" t="s">
        <v>31</v>
      </c>
      <c r="O50" s="7" t="s">
        <v>31</v>
      </c>
      <c r="P50" s="6" t="s">
        <v>32</v>
      </c>
      <c r="Q50" s="6" t="s">
        <v>533</v>
      </c>
      <c r="R50" s="14" t="s">
        <v>802</v>
      </c>
      <c r="S50" s="4" t="s">
        <v>35</v>
      </c>
      <c r="T50" s="29" t="s">
        <v>1771</v>
      </c>
      <c r="U50" s="14" t="s">
        <v>803</v>
      </c>
      <c r="V50" s="4" t="s">
        <v>36</v>
      </c>
      <c r="W50" s="10">
        <v>33354</v>
      </c>
      <c r="X50" s="10" t="str">
        <f t="shared" ca="1" si="2"/>
        <v xml:space="preserve">34 Years </v>
      </c>
      <c r="Y50" s="6">
        <v>8743934165</v>
      </c>
      <c r="Z50" s="28" t="s">
        <v>804</v>
      </c>
      <c r="AA50" s="44" t="s">
        <v>805</v>
      </c>
      <c r="AB50" s="4" t="s">
        <v>80</v>
      </c>
      <c r="AC50" s="22">
        <v>100894546987</v>
      </c>
      <c r="AD50" s="4" t="s">
        <v>41</v>
      </c>
      <c r="AE50" s="13">
        <v>42473</v>
      </c>
      <c r="AF50" s="16" t="s">
        <v>59</v>
      </c>
      <c r="AG50" s="14" t="s">
        <v>806</v>
      </c>
      <c r="AH50" s="18" t="s">
        <v>807</v>
      </c>
      <c r="AI50" s="14" t="s">
        <v>808</v>
      </c>
      <c r="AJ50" s="6" t="s">
        <v>63</v>
      </c>
      <c r="AK50" s="6" t="s">
        <v>809</v>
      </c>
      <c r="AL50" s="6" t="s">
        <v>810</v>
      </c>
      <c r="AM50" s="19" t="s">
        <v>811</v>
      </c>
      <c r="AN50" s="21" t="s">
        <v>812</v>
      </c>
      <c r="AO50" s="19" t="s">
        <v>312</v>
      </c>
      <c r="AP50" s="4" t="s">
        <v>781</v>
      </c>
      <c r="AQ50" t="s">
        <v>47</v>
      </c>
    </row>
    <row r="51" spans="1:43" x14ac:dyDescent="0.35">
      <c r="A51" s="3">
        <f t="shared" si="0"/>
        <v>50</v>
      </c>
      <c r="B51" s="4" t="s">
        <v>23</v>
      </c>
      <c r="C51" s="5" t="s">
        <v>813</v>
      </c>
      <c r="D51" s="20" t="s">
        <v>814</v>
      </c>
      <c r="E51" s="4" t="s">
        <v>814</v>
      </c>
      <c r="F51" s="4"/>
      <c r="G51" s="6" t="s">
        <v>743</v>
      </c>
      <c r="H51" s="17" t="s">
        <v>439</v>
      </c>
      <c r="I51" s="17" t="s">
        <v>75</v>
      </c>
      <c r="J51" s="17" t="s">
        <v>436</v>
      </c>
      <c r="K51" s="7">
        <v>45334</v>
      </c>
      <c r="L51" s="7" t="str">
        <f t="shared" ca="1" si="3"/>
        <v>2 Years 1 Months</v>
      </c>
      <c r="M51" s="7" t="s">
        <v>31</v>
      </c>
      <c r="N51" s="42" t="s">
        <v>31</v>
      </c>
      <c r="O51" s="7" t="s">
        <v>31</v>
      </c>
      <c r="P51" s="6" t="s">
        <v>32</v>
      </c>
      <c r="Q51" s="6" t="s">
        <v>609</v>
      </c>
      <c r="R51" s="6" t="s">
        <v>815</v>
      </c>
      <c r="S51" s="4" t="s">
        <v>35</v>
      </c>
      <c r="T51" s="29" t="s">
        <v>1772</v>
      </c>
      <c r="U51" s="14" t="s">
        <v>816</v>
      </c>
      <c r="V51" s="4" t="s">
        <v>335</v>
      </c>
      <c r="W51" s="10">
        <v>36031</v>
      </c>
      <c r="X51" s="10" t="str">
        <f t="shared" ca="1" si="2"/>
        <v xml:space="preserve">27 Years </v>
      </c>
      <c r="Y51" s="6">
        <v>7082221536</v>
      </c>
      <c r="Z51" s="45" t="s">
        <v>817</v>
      </c>
      <c r="AA51" s="44" t="s">
        <v>818</v>
      </c>
      <c r="AB51" s="4" t="s">
        <v>80</v>
      </c>
      <c r="AC51" s="22">
        <v>101805930183</v>
      </c>
      <c r="AD51" s="4" t="s">
        <v>123</v>
      </c>
      <c r="AE51" s="13" t="s">
        <v>31</v>
      </c>
      <c r="AF51" s="6" t="s">
        <v>354</v>
      </c>
      <c r="AG51" s="14" t="s">
        <v>819</v>
      </c>
      <c r="AH51" s="18" t="s">
        <v>820</v>
      </c>
      <c r="AI51" s="14" t="s">
        <v>821</v>
      </c>
      <c r="AJ51" s="6" t="s">
        <v>63</v>
      </c>
      <c r="AK51" s="6" t="s">
        <v>822</v>
      </c>
      <c r="AL51" s="6" t="s">
        <v>823</v>
      </c>
      <c r="AM51" s="19" t="s">
        <v>824</v>
      </c>
      <c r="AN51" s="19" t="s">
        <v>825</v>
      </c>
      <c r="AO51" s="19" t="s">
        <v>826</v>
      </c>
      <c r="AP51" s="4" t="s">
        <v>31</v>
      </c>
      <c r="AQ51" t="s">
        <v>47</v>
      </c>
    </row>
    <row r="52" spans="1:43" x14ac:dyDescent="0.35">
      <c r="A52" s="3">
        <f t="shared" si="0"/>
        <v>51</v>
      </c>
      <c r="B52" s="4" t="s">
        <v>23</v>
      </c>
      <c r="C52" s="5" t="s">
        <v>827</v>
      </c>
      <c r="D52" s="20" t="s">
        <v>828</v>
      </c>
      <c r="E52" s="4" t="s">
        <v>829</v>
      </c>
      <c r="F52" s="4" t="s">
        <v>72</v>
      </c>
      <c r="G52" s="6" t="s">
        <v>608</v>
      </c>
      <c r="H52" s="17" t="s">
        <v>117</v>
      </c>
      <c r="I52" s="17" t="s">
        <v>52</v>
      </c>
      <c r="J52" s="17" t="s">
        <v>298</v>
      </c>
      <c r="K52" s="7">
        <v>45352</v>
      </c>
      <c r="L52" s="7" t="str">
        <f t="shared" ca="1" si="3"/>
        <v>2 Years 0 Months</v>
      </c>
      <c r="M52" s="7" t="s">
        <v>31</v>
      </c>
      <c r="N52" s="42" t="s">
        <v>31</v>
      </c>
      <c r="O52" s="7" t="s">
        <v>31</v>
      </c>
      <c r="P52" s="6" t="s">
        <v>32</v>
      </c>
      <c r="Q52" s="6" t="s">
        <v>533</v>
      </c>
      <c r="R52" s="14" t="s">
        <v>830</v>
      </c>
      <c r="S52" s="4" t="s">
        <v>831</v>
      </c>
      <c r="T52" s="29" t="s">
        <v>1773</v>
      </c>
      <c r="U52" s="14" t="s">
        <v>832</v>
      </c>
      <c r="V52" s="4" t="s">
        <v>36</v>
      </c>
      <c r="W52" s="10">
        <v>33261</v>
      </c>
      <c r="X52" s="10" t="str">
        <f t="shared" ca="1" si="2"/>
        <v xml:space="preserve">35 Years </v>
      </c>
      <c r="Y52" s="6" t="s">
        <v>833</v>
      </c>
      <c r="Z52" s="28" t="s">
        <v>834</v>
      </c>
      <c r="AA52" s="44" t="s">
        <v>835</v>
      </c>
      <c r="AB52" s="4" t="s">
        <v>40</v>
      </c>
      <c r="AC52" s="22" t="s">
        <v>31</v>
      </c>
      <c r="AD52" s="4" t="s">
        <v>41</v>
      </c>
      <c r="AE52" s="13">
        <v>43229</v>
      </c>
      <c r="AF52" s="16" t="s">
        <v>354</v>
      </c>
      <c r="AG52" s="14" t="s">
        <v>60</v>
      </c>
      <c r="AH52" s="18" t="s">
        <v>836</v>
      </c>
      <c r="AI52" s="14" t="s">
        <v>837</v>
      </c>
      <c r="AJ52" s="14" t="s">
        <v>161</v>
      </c>
      <c r="AK52" s="6" t="s">
        <v>838</v>
      </c>
      <c r="AL52" s="6" t="s">
        <v>839</v>
      </c>
      <c r="AM52" s="19" t="s">
        <v>840</v>
      </c>
      <c r="AN52" s="19" t="s">
        <v>841</v>
      </c>
      <c r="AO52" s="19" t="s">
        <v>90</v>
      </c>
      <c r="AP52" s="4" t="s">
        <v>781</v>
      </c>
      <c r="AQ52" t="s">
        <v>47</v>
      </c>
    </row>
    <row r="53" spans="1:43" x14ac:dyDescent="0.35">
      <c r="A53" s="3">
        <f t="shared" si="0"/>
        <v>52</v>
      </c>
      <c r="B53" s="4" t="s">
        <v>23</v>
      </c>
      <c r="C53" s="5" t="s">
        <v>842</v>
      </c>
      <c r="D53" s="20" t="s">
        <v>843</v>
      </c>
      <c r="E53" s="4" t="s">
        <v>844</v>
      </c>
      <c r="F53" s="4" t="s">
        <v>72</v>
      </c>
      <c r="G53" s="6" t="s">
        <v>845</v>
      </c>
      <c r="H53" s="17" t="s">
        <v>439</v>
      </c>
      <c r="I53" s="17" t="s">
        <v>75</v>
      </c>
      <c r="J53" s="17" t="s">
        <v>436</v>
      </c>
      <c r="K53" s="7">
        <v>45383</v>
      </c>
      <c r="L53" s="7" t="str">
        <f t="shared" ca="1" si="3"/>
        <v>1 Years 11 Months</v>
      </c>
      <c r="M53" s="7" t="s">
        <v>31</v>
      </c>
      <c r="N53" s="42" t="s">
        <v>31</v>
      </c>
      <c r="O53" s="7" t="s">
        <v>31</v>
      </c>
      <c r="P53" s="6" t="s">
        <v>32</v>
      </c>
      <c r="Q53" s="15" t="s">
        <v>635</v>
      </c>
      <c r="R53" s="14" t="s">
        <v>846</v>
      </c>
      <c r="S53" s="4" t="s">
        <v>35</v>
      </c>
      <c r="T53" s="29" t="s">
        <v>1774</v>
      </c>
      <c r="U53" s="14" t="s">
        <v>847</v>
      </c>
      <c r="V53" s="4" t="s">
        <v>36</v>
      </c>
      <c r="W53" s="10">
        <v>36339</v>
      </c>
      <c r="X53" s="10" t="str">
        <f t="shared" ca="1" si="2"/>
        <v xml:space="preserve">26 Years </v>
      </c>
      <c r="Y53" s="6">
        <v>8561850614</v>
      </c>
      <c r="Z53" s="28" t="s">
        <v>848</v>
      </c>
      <c r="AA53" s="44" t="s">
        <v>849</v>
      </c>
      <c r="AB53" s="4" t="s">
        <v>40</v>
      </c>
      <c r="AC53" s="22" t="s">
        <v>31</v>
      </c>
      <c r="AD53" s="4" t="s">
        <v>123</v>
      </c>
      <c r="AE53" s="13" t="s">
        <v>31</v>
      </c>
      <c r="AF53" s="14" t="s">
        <v>59</v>
      </c>
      <c r="AG53" s="14" t="s">
        <v>158</v>
      </c>
      <c r="AH53" s="18" t="s">
        <v>850</v>
      </c>
      <c r="AI53" s="14" t="s">
        <v>851</v>
      </c>
      <c r="AJ53" s="26" t="s">
        <v>85</v>
      </c>
      <c r="AK53" s="6" t="s">
        <v>852</v>
      </c>
      <c r="AL53" s="6" t="s">
        <v>853</v>
      </c>
      <c r="AM53" s="19" t="s">
        <v>854</v>
      </c>
      <c r="AN53" s="19" t="s">
        <v>855</v>
      </c>
      <c r="AO53" s="19" t="s">
        <v>68</v>
      </c>
      <c r="AP53" s="4" t="s">
        <v>31</v>
      </c>
      <c r="AQ53" t="s">
        <v>47</v>
      </c>
    </row>
    <row r="54" spans="1:43" x14ac:dyDescent="0.35">
      <c r="A54" s="3">
        <f t="shared" si="0"/>
        <v>53</v>
      </c>
      <c r="B54" s="4" t="s">
        <v>23</v>
      </c>
      <c r="C54" s="5" t="s">
        <v>856</v>
      </c>
      <c r="D54" s="20" t="s">
        <v>857</v>
      </c>
      <c r="E54" s="4" t="s">
        <v>858</v>
      </c>
      <c r="F54" s="4" t="s">
        <v>859</v>
      </c>
      <c r="G54" s="6" t="s">
        <v>860</v>
      </c>
      <c r="H54" s="17" t="s">
        <v>149</v>
      </c>
      <c r="I54" s="17" t="s">
        <v>150</v>
      </c>
      <c r="J54" s="17" t="s">
        <v>501</v>
      </c>
      <c r="K54" s="7">
        <v>45383</v>
      </c>
      <c r="L54" s="7" t="str">
        <f t="shared" ca="1" si="3"/>
        <v>1 Years 11 Months</v>
      </c>
      <c r="M54" s="7" t="s">
        <v>31</v>
      </c>
      <c r="N54" s="42" t="s">
        <v>31</v>
      </c>
      <c r="O54" s="7" t="s">
        <v>31</v>
      </c>
      <c r="P54" s="6" t="s">
        <v>32</v>
      </c>
      <c r="Q54" s="6" t="s">
        <v>533</v>
      </c>
      <c r="R54" s="14" t="s">
        <v>861</v>
      </c>
      <c r="S54" s="26" t="s">
        <v>153</v>
      </c>
      <c r="T54" s="9" t="s">
        <v>1775</v>
      </c>
      <c r="U54" s="14" t="s">
        <v>862</v>
      </c>
      <c r="V54" s="4" t="s">
        <v>36</v>
      </c>
      <c r="W54" s="10">
        <v>34768</v>
      </c>
      <c r="X54" s="10" t="str">
        <f t="shared" ca="1" si="2"/>
        <v xml:space="preserve">31 Years </v>
      </c>
      <c r="Y54" s="6" t="s">
        <v>863</v>
      </c>
      <c r="Z54" s="28" t="s">
        <v>864</v>
      </c>
      <c r="AA54" s="44" t="s">
        <v>865</v>
      </c>
      <c r="AB54" s="4" t="s">
        <v>80</v>
      </c>
      <c r="AC54" s="28">
        <v>102230124722</v>
      </c>
      <c r="AD54" s="4" t="s">
        <v>123</v>
      </c>
      <c r="AE54" s="13" t="s">
        <v>31</v>
      </c>
      <c r="AF54" s="6" t="s">
        <v>225</v>
      </c>
      <c r="AG54" s="14" t="s">
        <v>683</v>
      </c>
      <c r="AH54" s="18" t="s">
        <v>866</v>
      </c>
      <c r="AI54" s="14" t="s">
        <v>706</v>
      </c>
      <c r="AJ54" s="26" t="s">
        <v>85</v>
      </c>
      <c r="AK54" s="6" t="s">
        <v>867</v>
      </c>
      <c r="AL54" s="6" t="s">
        <v>868</v>
      </c>
      <c r="AM54" s="19" t="s">
        <v>869</v>
      </c>
      <c r="AN54" s="19" t="s">
        <v>870</v>
      </c>
      <c r="AO54" s="6" t="s">
        <v>68</v>
      </c>
      <c r="AP54" s="4" t="s">
        <v>31</v>
      </c>
      <c r="AQ54" t="s">
        <v>47</v>
      </c>
    </row>
    <row r="55" spans="1:43" x14ac:dyDescent="0.35">
      <c r="A55" s="3">
        <f t="shared" si="0"/>
        <v>54</v>
      </c>
      <c r="B55" s="4" t="s">
        <v>23</v>
      </c>
      <c r="C55" s="5" t="s">
        <v>871</v>
      </c>
      <c r="D55" s="20" t="s">
        <v>52</v>
      </c>
      <c r="E55" s="4" t="s">
        <v>872</v>
      </c>
      <c r="F55" s="4" t="s">
        <v>873</v>
      </c>
      <c r="G55" s="6" t="s">
        <v>874</v>
      </c>
      <c r="H55" s="4" t="s">
        <v>29</v>
      </c>
      <c r="I55" s="46" t="s">
        <v>25</v>
      </c>
      <c r="J55" s="4" t="s">
        <v>25</v>
      </c>
      <c r="K55" s="42">
        <v>45427</v>
      </c>
      <c r="L55" s="7" t="str">
        <f t="shared" ca="1" si="3"/>
        <v>1 Years 10 Months</v>
      </c>
      <c r="M55" s="7" t="s">
        <v>31</v>
      </c>
      <c r="N55" s="42" t="s">
        <v>54</v>
      </c>
      <c r="O55" s="7" t="s">
        <v>31</v>
      </c>
      <c r="P55" s="6" t="s">
        <v>32</v>
      </c>
      <c r="Q55" s="6" t="s">
        <v>533</v>
      </c>
      <c r="R55" s="47" t="s">
        <v>875</v>
      </c>
      <c r="S55" s="26" t="s">
        <v>35</v>
      </c>
      <c r="T55" s="9" t="s">
        <v>1776</v>
      </c>
      <c r="U55" s="14" t="s">
        <v>876</v>
      </c>
      <c r="V55" s="26" t="s">
        <v>36</v>
      </c>
      <c r="W55" s="10">
        <v>27907</v>
      </c>
      <c r="X55" s="10" t="str">
        <f t="shared" ca="1" si="2"/>
        <v xml:space="preserve">49 Years </v>
      </c>
      <c r="Y55" s="26">
        <v>9610339080</v>
      </c>
      <c r="Z55" s="48" t="s">
        <v>877</v>
      </c>
      <c r="AA55" s="49" t="s">
        <v>878</v>
      </c>
      <c r="AB55" s="26" t="s">
        <v>40</v>
      </c>
      <c r="AC55" s="50" t="s">
        <v>31</v>
      </c>
      <c r="AD55" s="26" t="s">
        <v>41</v>
      </c>
      <c r="AE55" s="13" t="s">
        <v>879</v>
      </c>
      <c r="AF55" s="26" t="s">
        <v>880</v>
      </c>
      <c r="AG55" s="26"/>
      <c r="AH55" s="51" t="s">
        <v>881</v>
      </c>
      <c r="AI55" s="14" t="s">
        <v>882</v>
      </c>
      <c r="AJ55" s="26" t="s">
        <v>85</v>
      </c>
      <c r="AK55" s="26" t="s">
        <v>883</v>
      </c>
      <c r="AL55" s="26" t="s">
        <v>884</v>
      </c>
      <c r="AM55" s="19" t="s">
        <v>885</v>
      </c>
      <c r="AN55" s="19" t="s">
        <v>886</v>
      </c>
      <c r="AO55" s="19" t="s">
        <v>90</v>
      </c>
      <c r="AP55" s="4" t="s">
        <v>31</v>
      </c>
      <c r="AQ55" t="s">
        <v>47</v>
      </c>
    </row>
    <row r="56" spans="1:43" x14ac:dyDescent="0.35">
      <c r="A56" s="3">
        <f t="shared" si="0"/>
        <v>55</v>
      </c>
      <c r="B56" s="4" t="s">
        <v>23</v>
      </c>
      <c r="C56" s="6" t="s">
        <v>887</v>
      </c>
      <c r="D56" s="20" t="s">
        <v>888</v>
      </c>
      <c r="E56" s="4" t="s">
        <v>889</v>
      </c>
      <c r="F56" s="4" t="s">
        <v>890</v>
      </c>
      <c r="G56" s="6" t="s">
        <v>416</v>
      </c>
      <c r="H56" s="17" t="s">
        <v>117</v>
      </c>
      <c r="I56" s="17" t="s">
        <v>52</v>
      </c>
      <c r="J56" s="17" t="s">
        <v>298</v>
      </c>
      <c r="K56" s="7">
        <v>45461</v>
      </c>
      <c r="L56" s="7" t="str">
        <f t="shared" ca="1" si="3"/>
        <v>1 Years 9 Months</v>
      </c>
      <c r="M56" s="7" t="s">
        <v>31</v>
      </c>
      <c r="N56" s="7" t="s">
        <v>11</v>
      </c>
      <c r="O56" s="7" t="s">
        <v>891</v>
      </c>
      <c r="P56" s="6" t="s">
        <v>32</v>
      </c>
      <c r="Q56" s="6" t="s">
        <v>533</v>
      </c>
      <c r="R56" s="17" t="s">
        <v>892</v>
      </c>
      <c r="S56" s="6" t="s">
        <v>893</v>
      </c>
      <c r="T56" s="9" t="s">
        <v>1777</v>
      </c>
      <c r="U56" s="14" t="s">
        <v>894</v>
      </c>
      <c r="V56" s="6" t="s">
        <v>36</v>
      </c>
      <c r="W56" s="10">
        <v>35532</v>
      </c>
      <c r="X56" s="10" t="str">
        <f t="shared" ca="1" si="2"/>
        <v xml:space="preserve">28 Years </v>
      </c>
      <c r="Y56" s="17">
        <v>7002120547</v>
      </c>
      <c r="Z56" s="12" t="s">
        <v>895</v>
      </c>
      <c r="AA56" s="17" t="s">
        <v>896</v>
      </c>
      <c r="AB56" s="6" t="s">
        <v>40</v>
      </c>
      <c r="AC56" s="22" t="s">
        <v>31</v>
      </c>
      <c r="AD56" s="6" t="s">
        <v>123</v>
      </c>
      <c r="AE56" s="13"/>
      <c r="AF56" s="14" t="s">
        <v>59</v>
      </c>
      <c r="AG56" s="14" t="s">
        <v>60</v>
      </c>
      <c r="AH56" s="14">
        <v>38629606267</v>
      </c>
      <c r="AI56" s="14" t="s">
        <v>897</v>
      </c>
      <c r="AJ56" s="6" t="s">
        <v>85</v>
      </c>
      <c r="AK56" s="6" t="s">
        <v>898</v>
      </c>
      <c r="AL56" s="6" t="s">
        <v>899</v>
      </c>
      <c r="AM56" s="19" t="s">
        <v>900</v>
      </c>
      <c r="AN56" s="19" t="s">
        <v>901</v>
      </c>
      <c r="AO56" s="19" t="s">
        <v>468</v>
      </c>
      <c r="AP56" s="4" t="s">
        <v>781</v>
      </c>
      <c r="AQ56" t="s">
        <v>47</v>
      </c>
    </row>
    <row r="57" spans="1:43" x14ac:dyDescent="0.35">
      <c r="A57" s="3">
        <f t="shared" si="0"/>
        <v>56</v>
      </c>
      <c r="B57" s="4" t="s">
        <v>23</v>
      </c>
      <c r="C57" s="26" t="s">
        <v>902</v>
      </c>
      <c r="D57" s="20" t="s">
        <v>903</v>
      </c>
      <c r="E57" s="4" t="s">
        <v>904</v>
      </c>
      <c r="F57" s="4" t="s">
        <v>72</v>
      </c>
      <c r="G57" s="6" t="s">
        <v>905</v>
      </c>
      <c r="H57" s="6" t="s">
        <v>74</v>
      </c>
      <c r="I57" s="6" t="s">
        <v>75</v>
      </c>
      <c r="J57" s="6" t="s">
        <v>70</v>
      </c>
      <c r="K57" s="7">
        <v>45551</v>
      </c>
      <c r="L57" s="7" t="str">
        <f t="shared" ca="1" si="3"/>
        <v>1 Years 6 Months</v>
      </c>
      <c r="M57" s="7" t="s">
        <v>31</v>
      </c>
      <c r="N57" s="7" t="s">
        <v>11</v>
      </c>
      <c r="O57" s="7" t="s">
        <v>906</v>
      </c>
      <c r="P57" s="6" t="s">
        <v>32</v>
      </c>
      <c r="Q57" s="6" t="s">
        <v>533</v>
      </c>
      <c r="R57" s="6" t="s">
        <v>907</v>
      </c>
      <c r="S57" s="6" t="s">
        <v>35</v>
      </c>
      <c r="T57" s="52" t="s">
        <v>1778</v>
      </c>
      <c r="U57" s="14" t="s">
        <v>908</v>
      </c>
      <c r="V57" s="6" t="s">
        <v>36</v>
      </c>
      <c r="W57" s="10">
        <v>34553</v>
      </c>
      <c r="X57" s="10" t="str">
        <f t="shared" ca="1" si="2"/>
        <v xml:space="preserve">31 Years </v>
      </c>
      <c r="Y57" s="14">
        <v>8287946104</v>
      </c>
      <c r="Z57" s="28" t="s">
        <v>909</v>
      </c>
      <c r="AA57" s="14" t="s">
        <v>910</v>
      </c>
      <c r="AB57" s="6" t="s">
        <v>80</v>
      </c>
      <c r="AC57" s="12">
        <v>100678984840</v>
      </c>
      <c r="AD57" s="6" t="s">
        <v>41</v>
      </c>
      <c r="AE57" s="13">
        <v>45057</v>
      </c>
      <c r="AF57" s="16" t="s">
        <v>354</v>
      </c>
      <c r="AG57" s="14" t="s">
        <v>60</v>
      </c>
      <c r="AH57" s="6" t="s">
        <v>911</v>
      </c>
      <c r="AI57" s="14" t="s">
        <v>912</v>
      </c>
      <c r="AJ57" s="6" t="s">
        <v>85</v>
      </c>
      <c r="AK57" s="6" t="s">
        <v>913</v>
      </c>
      <c r="AL57" s="6" t="s">
        <v>914</v>
      </c>
      <c r="AM57" s="19" t="s">
        <v>915</v>
      </c>
      <c r="AN57" s="19" t="s">
        <v>916</v>
      </c>
      <c r="AO57" s="19" t="s">
        <v>68</v>
      </c>
      <c r="AP57" s="4" t="s">
        <v>781</v>
      </c>
      <c r="AQ57" t="s">
        <v>47</v>
      </c>
    </row>
    <row r="58" spans="1:43" x14ac:dyDescent="0.35">
      <c r="A58" s="3">
        <f t="shared" si="0"/>
        <v>57</v>
      </c>
      <c r="B58" s="4" t="s">
        <v>23</v>
      </c>
      <c r="C58" s="14" t="s">
        <v>917</v>
      </c>
      <c r="D58" s="20" t="s">
        <v>918</v>
      </c>
      <c r="E58" s="4" t="s">
        <v>919</v>
      </c>
      <c r="F58" s="4" t="s">
        <v>920</v>
      </c>
      <c r="G58" s="6" t="s">
        <v>921</v>
      </c>
      <c r="H58" s="14" t="s">
        <v>922</v>
      </c>
      <c r="I58" s="53" t="s">
        <v>25</v>
      </c>
      <c r="J58" s="53" t="s">
        <v>923</v>
      </c>
      <c r="K58" s="54">
        <v>45628</v>
      </c>
      <c r="L58" s="7" t="str">
        <f t="shared" ca="1" si="3"/>
        <v>1 Years 3 Months</v>
      </c>
      <c r="M58" s="7" t="s">
        <v>31</v>
      </c>
      <c r="N58" s="7" t="s">
        <v>11</v>
      </c>
      <c r="O58" s="54" t="s">
        <v>924</v>
      </c>
      <c r="P58" s="6" t="s">
        <v>32</v>
      </c>
      <c r="Q58" s="6" t="s">
        <v>533</v>
      </c>
      <c r="R58" s="14" t="s">
        <v>925</v>
      </c>
      <c r="S58" s="6" t="s">
        <v>35</v>
      </c>
      <c r="T58" s="43" t="s">
        <v>1779</v>
      </c>
      <c r="U58" s="14" t="s">
        <v>926</v>
      </c>
      <c r="V58" s="33" t="s">
        <v>335</v>
      </c>
      <c r="W58" s="10">
        <v>36094</v>
      </c>
      <c r="X58" s="10" t="str">
        <f t="shared" ca="1" si="2"/>
        <v xml:space="preserve">27 Years </v>
      </c>
      <c r="Y58" s="18">
        <v>7217262862</v>
      </c>
      <c r="Z58" s="28" t="s">
        <v>927</v>
      </c>
      <c r="AA58" s="14" t="s">
        <v>928</v>
      </c>
      <c r="AB58" s="55" t="s">
        <v>80</v>
      </c>
      <c r="AC58" s="56">
        <v>102066086003</v>
      </c>
      <c r="AD58" s="6" t="s">
        <v>123</v>
      </c>
      <c r="AE58" s="13" t="s">
        <v>31</v>
      </c>
      <c r="AF58" s="6" t="s">
        <v>304</v>
      </c>
      <c r="AG58" s="14" t="s">
        <v>929</v>
      </c>
      <c r="AH58" s="57">
        <v>88302010091056</v>
      </c>
      <c r="AI58" s="14" t="s">
        <v>930</v>
      </c>
      <c r="AJ58" s="6" t="s">
        <v>85</v>
      </c>
      <c r="AK58" s="6" t="s">
        <v>931</v>
      </c>
      <c r="AL58" s="6" t="s">
        <v>932</v>
      </c>
      <c r="AM58" s="19" t="s">
        <v>933</v>
      </c>
      <c r="AN58" s="19" t="s">
        <v>934</v>
      </c>
      <c r="AO58" s="19" t="s">
        <v>935</v>
      </c>
      <c r="AP58" s="4" t="s">
        <v>936</v>
      </c>
      <c r="AQ58" t="s">
        <v>47</v>
      </c>
    </row>
    <row r="59" spans="1:43" x14ac:dyDescent="0.35">
      <c r="A59" s="3">
        <f t="shared" si="0"/>
        <v>58</v>
      </c>
      <c r="B59" s="4" t="s">
        <v>23</v>
      </c>
      <c r="C59" s="14" t="s">
        <v>937</v>
      </c>
      <c r="D59" s="20" t="s">
        <v>938</v>
      </c>
      <c r="E59" s="4" t="s">
        <v>939</v>
      </c>
      <c r="F59" s="4" t="s">
        <v>940</v>
      </c>
      <c r="G59" s="6" t="s">
        <v>941</v>
      </c>
      <c r="H59" s="14" t="s">
        <v>117</v>
      </c>
      <c r="I59" s="14" t="s">
        <v>52</v>
      </c>
      <c r="J59" s="14" t="s">
        <v>232</v>
      </c>
      <c r="K59" s="54">
        <v>45630</v>
      </c>
      <c r="L59" s="7" t="str">
        <f t="shared" ca="1" si="3"/>
        <v>1 Years 3 Months</v>
      </c>
      <c r="M59" s="7" t="s">
        <v>31</v>
      </c>
      <c r="N59" s="7" t="s">
        <v>11</v>
      </c>
      <c r="O59" s="54" t="s">
        <v>942</v>
      </c>
      <c r="P59" s="6" t="s">
        <v>32</v>
      </c>
      <c r="Q59" s="6" t="s">
        <v>533</v>
      </c>
      <c r="R59" s="14" t="s">
        <v>925</v>
      </c>
      <c r="S59" s="4" t="s">
        <v>457</v>
      </c>
      <c r="T59" s="43" t="s">
        <v>1780</v>
      </c>
      <c r="U59" s="14" t="s">
        <v>943</v>
      </c>
      <c r="V59" s="33" t="s">
        <v>36</v>
      </c>
      <c r="W59" s="10">
        <v>35688</v>
      </c>
      <c r="X59" s="10" t="str">
        <f t="shared" ca="1" si="2"/>
        <v xml:space="preserve">28 Years </v>
      </c>
      <c r="Y59" s="18">
        <v>7384226876</v>
      </c>
      <c r="Z59" s="28" t="s">
        <v>944</v>
      </c>
      <c r="AA59" s="14" t="s">
        <v>945</v>
      </c>
      <c r="AB59" s="6" t="s">
        <v>40</v>
      </c>
      <c r="AC59" s="22" t="s">
        <v>31</v>
      </c>
      <c r="AD59" s="6" t="s">
        <v>123</v>
      </c>
      <c r="AE59" s="13" t="s">
        <v>31</v>
      </c>
      <c r="AF59" s="16" t="s">
        <v>354</v>
      </c>
      <c r="AG59" s="14" t="s">
        <v>371</v>
      </c>
      <c r="AH59" s="14">
        <v>40940142528</v>
      </c>
      <c r="AI59" s="14" t="s">
        <v>946</v>
      </c>
      <c r="AJ59" s="6" t="s">
        <v>106</v>
      </c>
      <c r="AK59" s="6" t="s">
        <v>947</v>
      </c>
      <c r="AL59" s="6" t="s">
        <v>948</v>
      </c>
      <c r="AM59" s="19" t="s">
        <v>949</v>
      </c>
      <c r="AN59" s="19" t="s">
        <v>950</v>
      </c>
      <c r="AO59" s="19" t="s">
        <v>935</v>
      </c>
      <c r="AP59" s="4" t="s">
        <v>781</v>
      </c>
      <c r="AQ59" t="s">
        <v>47</v>
      </c>
    </row>
    <row r="60" spans="1:43" x14ac:dyDescent="0.35">
      <c r="A60" s="3">
        <f t="shared" si="0"/>
        <v>59</v>
      </c>
      <c r="B60" s="4" t="s">
        <v>23</v>
      </c>
      <c r="C60" s="14" t="s">
        <v>951</v>
      </c>
      <c r="D60" s="20" t="s">
        <v>952</v>
      </c>
      <c r="E60" s="4" t="s">
        <v>952</v>
      </c>
      <c r="F60" s="4"/>
      <c r="G60" s="6" t="s">
        <v>953</v>
      </c>
      <c r="H60" s="46" t="s">
        <v>474</v>
      </c>
      <c r="I60" s="14" t="s">
        <v>75</v>
      </c>
      <c r="J60" s="14" t="s">
        <v>75</v>
      </c>
      <c r="K60" s="54">
        <v>45635</v>
      </c>
      <c r="L60" s="7" t="str">
        <f t="shared" ca="1" si="3"/>
        <v>1 Years 3 Months</v>
      </c>
      <c r="M60" s="7" t="s">
        <v>31</v>
      </c>
      <c r="N60" s="54" t="s">
        <v>54</v>
      </c>
      <c r="O60" s="7" t="s">
        <v>31</v>
      </c>
      <c r="P60" s="6" t="s">
        <v>32</v>
      </c>
      <c r="Q60" s="6" t="s">
        <v>533</v>
      </c>
      <c r="R60" s="14" t="s">
        <v>954</v>
      </c>
      <c r="S60" s="6" t="s">
        <v>35</v>
      </c>
      <c r="T60" s="43" t="s">
        <v>1781</v>
      </c>
      <c r="U60" s="14" t="s">
        <v>955</v>
      </c>
      <c r="V60" s="33" t="s">
        <v>335</v>
      </c>
      <c r="W60" s="10">
        <v>36466</v>
      </c>
      <c r="X60" s="10" t="str">
        <f t="shared" ca="1" si="2"/>
        <v xml:space="preserve">26 Years </v>
      </c>
      <c r="Y60" s="18">
        <v>9773691687</v>
      </c>
      <c r="Z60" s="28" t="s">
        <v>956</v>
      </c>
      <c r="AA60" s="14" t="s">
        <v>957</v>
      </c>
      <c r="AB60" s="55" t="s">
        <v>958</v>
      </c>
      <c r="AC60" s="28" t="s">
        <v>959</v>
      </c>
      <c r="AD60" s="6" t="s">
        <v>123</v>
      </c>
      <c r="AE60" s="13" t="s">
        <v>31</v>
      </c>
      <c r="AF60" s="6" t="s">
        <v>960</v>
      </c>
      <c r="AG60" s="14" t="s">
        <v>961</v>
      </c>
      <c r="AH60" s="57" t="s">
        <v>962</v>
      </c>
      <c r="AI60" s="14" t="s">
        <v>963</v>
      </c>
      <c r="AJ60" s="6" t="s">
        <v>964</v>
      </c>
      <c r="AK60" s="6" t="s">
        <v>965</v>
      </c>
      <c r="AL60" s="6" t="s">
        <v>966</v>
      </c>
      <c r="AM60" s="19" t="s">
        <v>967</v>
      </c>
      <c r="AN60" s="19" t="s">
        <v>968</v>
      </c>
      <c r="AO60" s="19" t="s">
        <v>181</v>
      </c>
      <c r="AP60" s="4" t="s">
        <v>781</v>
      </c>
      <c r="AQ60" t="s">
        <v>47</v>
      </c>
    </row>
    <row r="61" spans="1:43" x14ac:dyDescent="0.35">
      <c r="A61" s="3">
        <f t="shared" si="0"/>
        <v>60</v>
      </c>
      <c r="B61" s="4" t="s">
        <v>23</v>
      </c>
      <c r="C61" s="14" t="s">
        <v>969</v>
      </c>
      <c r="D61" s="20" t="s">
        <v>970</v>
      </c>
      <c r="E61" s="4" t="s">
        <v>971</v>
      </c>
      <c r="F61" s="4" t="s">
        <v>972</v>
      </c>
      <c r="G61" s="6" t="s">
        <v>973</v>
      </c>
      <c r="H61" s="14" t="s">
        <v>439</v>
      </c>
      <c r="I61" s="14" t="s">
        <v>75</v>
      </c>
      <c r="J61" s="14" t="s">
        <v>436</v>
      </c>
      <c r="K61" s="7">
        <v>45674</v>
      </c>
      <c r="L61" s="7" t="str">
        <f t="shared" ca="1" si="3"/>
        <v>1 Years 2 Months</v>
      </c>
      <c r="M61" s="7" t="s">
        <v>31</v>
      </c>
      <c r="N61" s="7" t="s">
        <v>11</v>
      </c>
      <c r="O61" s="7" t="s">
        <v>974</v>
      </c>
      <c r="P61" s="6" t="s">
        <v>32</v>
      </c>
      <c r="Q61" s="15" t="s">
        <v>635</v>
      </c>
      <c r="R61" s="14" t="s">
        <v>975</v>
      </c>
      <c r="S61" s="6" t="s">
        <v>35</v>
      </c>
      <c r="T61" s="34" t="s">
        <v>1782</v>
      </c>
      <c r="U61" s="14" t="s">
        <v>976</v>
      </c>
      <c r="V61" s="6" t="s">
        <v>36</v>
      </c>
      <c r="W61" s="10">
        <v>36058</v>
      </c>
      <c r="X61" s="10" t="str">
        <f t="shared" ca="1" si="2"/>
        <v xml:space="preserve">27 Years </v>
      </c>
      <c r="Y61" s="14">
        <v>9716515172</v>
      </c>
      <c r="Z61" s="28" t="s">
        <v>977</v>
      </c>
      <c r="AA61" s="14" t="s">
        <v>978</v>
      </c>
      <c r="AB61" s="6" t="s">
        <v>80</v>
      </c>
      <c r="AC61" s="45">
        <v>101782296969</v>
      </c>
      <c r="AD61" s="6" t="s">
        <v>123</v>
      </c>
      <c r="AE61" s="13" t="s">
        <v>31</v>
      </c>
      <c r="AF61" s="14" t="s">
        <v>59</v>
      </c>
      <c r="AG61" s="14" t="s">
        <v>60</v>
      </c>
      <c r="AH61" s="28" t="s">
        <v>979</v>
      </c>
      <c r="AI61" s="14" t="s">
        <v>980</v>
      </c>
      <c r="AJ61" s="6" t="s">
        <v>63</v>
      </c>
      <c r="AK61" s="6" t="s">
        <v>981</v>
      </c>
      <c r="AL61" s="6" t="s">
        <v>982</v>
      </c>
      <c r="AM61" s="19" t="s">
        <v>983</v>
      </c>
      <c r="AN61" s="19" t="s">
        <v>984</v>
      </c>
      <c r="AO61" s="19" t="s">
        <v>312</v>
      </c>
      <c r="AP61" s="4" t="s">
        <v>781</v>
      </c>
      <c r="AQ61" t="s">
        <v>47</v>
      </c>
    </row>
    <row r="62" spans="1:43" x14ac:dyDescent="0.35">
      <c r="A62" s="3">
        <f t="shared" si="0"/>
        <v>61</v>
      </c>
      <c r="B62" s="4" t="s">
        <v>23</v>
      </c>
      <c r="C62" s="14" t="s">
        <v>985</v>
      </c>
      <c r="D62" s="20" t="s">
        <v>986</v>
      </c>
      <c r="E62" s="4" t="s">
        <v>987</v>
      </c>
      <c r="F62" s="4" t="s">
        <v>988</v>
      </c>
      <c r="G62" s="6" t="s">
        <v>989</v>
      </c>
      <c r="H62" s="14" t="s">
        <v>990</v>
      </c>
      <c r="I62" s="14" t="s">
        <v>384</v>
      </c>
      <c r="J62" s="20" t="s">
        <v>991</v>
      </c>
      <c r="K62" s="7">
        <v>45689</v>
      </c>
      <c r="L62" s="7" t="str">
        <f t="shared" ca="1" si="3"/>
        <v>1 Years 1 Months</v>
      </c>
      <c r="M62" s="7">
        <v>45635</v>
      </c>
      <c r="N62" s="58" t="s">
        <v>54</v>
      </c>
      <c r="O62" s="7" t="s">
        <v>31</v>
      </c>
      <c r="P62" s="6" t="s">
        <v>32</v>
      </c>
      <c r="Q62" s="6" t="s">
        <v>533</v>
      </c>
      <c r="R62" s="14" t="s">
        <v>992</v>
      </c>
      <c r="S62" s="6" t="s">
        <v>35</v>
      </c>
      <c r="T62" s="34" t="s">
        <v>1783</v>
      </c>
      <c r="U62" s="14" t="s">
        <v>993</v>
      </c>
      <c r="V62" s="6" t="s">
        <v>335</v>
      </c>
      <c r="W62" s="10">
        <v>37932</v>
      </c>
      <c r="X62" s="10" t="str">
        <f t="shared" ca="1" si="2"/>
        <v xml:space="preserve">22 Years </v>
      </c>
      <c r="Y62" s="14">
        <v>8826109193</v>
      </c>
      <c r="Z62" s="28" t="s">
        <v>994</v>
      </c>
      <c r="AA62" s="14" t="s">
        <v>995</v>
      </c>
      <c r="AB62" s="6" t="s">
        <v>80</v>
      </c>
      <c r="AC62" s="45">
        <v>102177040047</v>
      </c>
      <c r="AD62" s="6" t="s">
        <v>123</v>
      </c>
      <c r="AE62" s="13" t="s">
        <v>31</v>
      </c>
      <c r="AF62" s="6" t="s">
        <v>996</v>
      </c>
      <c r="AG62" s="14" t="s">
        <v>997</v>
      </c>
      <c r="AH62" s="28">
        <v>50100709196738</v>
      </c>
      <c r="AI62" s="14" t="s">
        <v>998</v>
      </c>
      <c r="AJ62" s="6" t="s">
        <v>85</v>
      </c>
      <c r="AK62" s="6" t="s">
        <v>999</v>
      </c>
      <c r="AL62" s="6" t="s">
        <v>1000</v>
      </c>
      <c r="AM62" s="19" t="s">
        <v>1001</v>
      </c>
      <c r="AN62" s="19" t="s">
        <v>992</v>
      </c>
      <c r="AO62" s="19" t="s">
        <v>181</v>
      </c>
      <c r="AP62" s="4" t="s">
        <v>1002</v>
      </c>
      <c r="AQ62" t="s">
        <v>47</v>
      </c>
    </row>
    <row r="63" spans="1:43" x14ac:dyDescent="0.35">
      <c r="A63" s="3">
        <f t="shared" si="0"/>
        <v>62</v>
      </c>
      <c r="B63" s="4" t="s">
        <v>23</v>
      </c>
      <c r="C63" s="14" t="s">
        <v>1003</v>
      </c>
      <c r="D63" s="20" t="s">
        <v>1004</v>
      </c>
      <c r="E63" s="4" t="s">
        <v>1005</v>
      </c>
      <c r="F63" s="4" t="s">
        <v>1006</v>
      </c>
      <c r="G63" s="6" t="s">
        <v>1007</v>
      </c>
      <c r="H63" s="14" t="s">
        <v>439</v>
      </c>
      <c r="I63" s="14" t="s">
        <v>75</v>
      </c>
      <c r="J63" s="14" t="s">
        <v>436</v>
      </c>
      <c r="K63" s="7">
        <v>45691</v>
      </c>
      <c r="L63" s="7" t="str">
        <f t="shared" ca="1" si="3"/>
        <v>1 Years 1 Months</v>
      </c>
      <c r="M63" s="7" t="s">
        <v>31</v>
      </c>
      <c r="N63" s="7" t="s">
        <v>11</v>
      </c>
      <c r="O63" s="7" t="s">
        <v>1008</v>
      </c>
      <c r="P63" s="6" t="s">
        <v>32</v>
      </c>
      <c r="Q63" s="6" t="s">
        <v>533</v>
      </c>
      <c r="R63" s="6" t="s">
        <v>1009</v>
      </c>
      <c r="S63" s="6" t="s">
        <v>35</v>
      </c>
      <c r="T63" s="34" t="s">
        <v>1784</v>
      </c>
      <c r="U63" s="14" t="s">
        <v>1010</v>
      </c>
      <c r="V63" s="6" t="s">
        <v>36</v>
      </c>
      <c r="W63" s="10">
        <v>36814</v>
      </c>
      <c r="X63" s="10" t="str">
        <f t="shared" ca="1" si="2"/>
        <v xml:space="preserve">25 Years </v>
      </c>
      <c r="Y63" s="14">
        <v>9682637956</v>
      </c>
      <c r="Z63" s="14" t="s">
        <v>1011</v>
      </c>
      <c r="AA63" s="14" t="s">
        <v>1012</v>
      </c>
      <c r="AB63" s="6" t="s">
        <v>80</v>
      </c>
      <c r="AC63" s="45">
        <v>102177040034</v>
      </c>
      <c r="AD63" s="6" t="s">
        <v>123</v>
      </c>
      <c r="AE63" s="13" t="s">
        <v>31</v>
      </c>
      <c r="AF63" s="6" t="s">
        <v>1013</v>
      </c>
      <c r="AG63" s="14" t="s">
        <v>60</v>
      </c>
      <c r="AH63" s="14">
        <v>20306282003</v>
      </c>
      <c r="AI63" s="14" t="s">
        <v>1014</v>
      </c>
      <c r="AJ63" s="6" t="s">
        <v>63</v>
      </c>
      <c r="AK63" s="6" t="s">
        <v>1015</v>
      </c>
      <c r="AL63" s="6" t="s">
        <v>1016</v>
      </c>
      <c r="AM63" s="19" t="s">
        <v>1017</v>
      </c>
      <c r="AN63" s="19" t="s">
        <v>1018</v>
      </c>
      <c r="AO63" s="19" t="s">
        <v>181</v>
      </c>
      <c r="AP63" s="4" t="s">
        <v>781</v>
      </c>
      <c r="AQ63" t="s">
        <v>47</v>
      </c>
    </row>
    <row r="64" spans="1:43" x14ac:dyDescent="0.35">
      <c r="A64" s="3">
        <f t="shared" si="0"/>
        <v>63</v>
      </c>
      <c r="B64" s="4" t="s">
        <v>23</v>
      </c>
      <c r="C64" s="14" t="s">
        <v>1019</v>
      </c>
      <c r="D64" s="20" t="s">
        <v>1020</v>
      </c>
      <c r="E64" s="4" t="s">
        <v>1021</v>
      </c>
      <c r="F64" s="4" t="s">
        <v>316</v>
      </c>
      <c r="G64" s="6" t="s">
        <v>941</v>
      </c>
      <c r="H64" s="14" t="s">
        <v>117</v>
      </c>
      <c r="I64" s="14" t="s">
        <v>52</v>
      </c>
      <c r="J64" s="14" t="s">
        <v>417</v>
      </c>
      <c r="K64" s="7">
        <v>45691</v>
      </c>
      <c r="L64" s="7" t="str">
        <f t="shared" ca="1" si="3"/>
        <v>1 Years 1 Months</v>
      </c>
      <c r="M64" s="7" t="s">
        <v>31</v>
      </c>
      <c r="N64" s="7" t="s">
        <v>11</v>
      </c>
      <c r="O64" s="7" t="s">
        <v>1022</v>
      </c>
      <c r="P64" s="6" t="s">
        <v>32</v>
      </c>
      <c r="Q64" s="6" t="s">
        <v>533</v>
      </c>
      <c r="R64" s="6" t="s">
        <v>1023</v>
      </c>
      <c r="S64" s="6" t="s">
        <v>419</v>
      </c>
      <c r="T64" s="34" t="s">
        <v>1785</v>
      </c>
      <c r="U64" s="14" t="s">
        <v>1024</v>
      </c>
      <c r="V64" s="6" t="s">
        <v>36</v>
      </c>
      <c r="W64" s="10">
        <v>36640</v>
      </c>
      <c r="X64" s="10" t="str">
        <f t="shared" ca="1" si="2"/>
        <v xml:space="preserve">25 Years </v>
      </c>
      <c r="Y64" s="14">
        <v>6005886425</v>
      </c>
      <c r="Z64" s="14" t="s">
        <v>1025</v>
      </c>
      <c r="AA64" s="14" t="s">
        <v>1026</v>
      </c>
      <c r="AB64" s="6" t="s">
        <v>80</v>
      </c>
      <c r="AC64" s="45">
        <v>101749859118</v>
      </c>
      <c r="AD64" s="6" t="s">
        <v>123</v>
      </c>
      <c r="AE64" s="13" t="s">
        <v>31</v>
      </c>
      <c r="AF64" s="14" t="s">
        <v>59</v>
      </c>
      <c r="AG64" s="14" t="s">
        <v>60</v>
      </c>
      <c r="AH64" s="14" t="s">
        <v>1027</v>
      </c>
      <c r="AI64" s="14" t="s">
        <v>1028</v>
      </c>
      <c r="AJ64" s="6" t="s">
        <v>161</v>
      </c>
      <c r="AK64" s="6" t="s">
        <v>1029</v>
      </c>
      <c r="AL64" s="6" t="s">
        <v>1030</v>
      </c>
      <c r="AM64" s="19" t="s">
        <v>1031</v>
      </c>
      <c r="AN64" s="19" t="s">
        <v>1032</v>
      </c>
      <c r="AO64" s="19" t="s">
        <v>312</v>
      </c>
      <c r="AP64" s="4" t="s">
        <v>1033</v>
      </c>
      <c r="AQ64" t="s">
        <v>47</v>
      </c>
    </row>
    <row r="65" spans="1:43" x14ac:dyDescent="0.35">
      <c r="A65" s="3">
        <f t="shared" si="0"/>
        <v>64</v>
      </c>
      <c r="B65" s="4" t="s">
        <v>23</v>
      </c>
      <c r="C65" s="14" t="s">
        <v>1034</v>
      </c>
      <c r="D65" s="20" t="s">
        <v>1035</v>
      </c>
      <c r="E65" s="4" t="s">
        <v>1036</v>
      </c>
      <c r="F65" s="4" t="s">
        <v>1037</v>
      </c>
      <c r="G65" s="6" t="s">
        <v>941</v>
      </c>
      <c r="H65" s="14" t="s">
        <v>117</v>
      </c>
      <c r="I65" s="14" t="s">
        <v>52</v>
      </c>
      <c r="J65" s="14" t="s">
        <v>417</v>
      </c>
      <c r="K65" s="7">
        <v>45698</v>
      </c>
      <c r="L65" s="7" t="str">
        <f t="shared" ca="1" si="3"/>
        <v>1 Years 1 Months</v>
      </c>
      <c r="M65" s="7" t="s">
        <v>31</v>
      </c>
      <c r="N65" s="7" t="s">
        <v>11</v>
      </c>
      <c r="O65" s="7" t="s">
        <v>1038</v>
      </c>
      <c r="P65" s="6" t="s">
        <v>32</v>
      </c>
      <c r="Q65" s="6" t="s">
        <v>533</v>
      </c>
      <c r="R65" s="6" t="s">
        <v>1039</v>
      </c>
      <c r="S65" s="6" t="s">
        <v>419</v>
      </c>
      <c r="T65" s="34" t="s">
        <v>1786</v>
      </c>
      <c r="U65" s="14" t="s">
        <v>1040</v>
      </c>
      <c r="V65" s="6" t="s">
        <v>36</v>
      </c>
      <c r="W65" s="10">
        <v>36188</v>
      </c>
      <c r="X65" s="10" t="str">
        <f t="shared" ca="1" si="2"/>
        <v xml:space="preserve">27 Years </v>
      </c>
      <c r="Y65" s="14">
        <v>6005108300</v>
      </c>
      <c r="Z65" s="14" t="s">
        <v>1041</v>
      </c>
      <c r="AA65" s="14" t="s">
        <v>1042</v>
      </c>
      <c r="AB65" s="6" t="s">
        <v>80</v>
      </c>
      <c r="AC65" s="45">
        <v>102177039021</v>
      </c>
      <c r="AD65" s="6" t="s">
        <v>123</v>
      </c>
      <c r="AE65" s="13" t="s">
        <v>31</v>
      </c>
      <c r="AF65" s="14" t="s">
        <v>59</v>
      </c>
      <c r="AG65" s="14" t="s">
        <v>60</v>
      </c>
      <c r="AH65" s="14" t="s">
        <v>1043</v>
      </c>
      <c r="AI65" s="14" t="s">
        <v>1044</v>
      </c>
      <c r="AJ65" s="6" t="s">
        <v>63</v>
      </c>
      <c r="AK65" s="6" t="s">
        <v>1045</v>
      </c>
      <c r="AL65" s="6" t="s">
        <v>1046</v>
      </c>
      <c r="AM65" s="19" t="s">
        <v>1047</v>
      </c>
      <c r="AN65" s="19" t="s">
        <v>1048</v>
      </c>
      <c r="AO65" s="19" t="s">
        <v>181</v>
      </c>
      <c r="AP65" s="4" t="s">
        <v>781</v>
      </c>
      <c r="AQ65" t="s">
        <v>47</v>
      </c>
    </row>
    <row r="66" spans="1:43" x14ac:dyDescent="0.35">
      <c r="A66" s="3">
        <f t="shared" ref="A66:A111" si="4">ROW()-1</f>
        <v>65</v>
      </c>
      <c r="B66" s="4" t="s">
        <v>23</v>
      </c>
      <c r="C66" s="14" t="s">
        <v>1049</v>
      </c>
      <c r="D66" s="20" t="s">
        <v>1050</v>
      </c>
      <c r="E66" s="4" t="s">
        <v>1051</v>
      </c>
      <c r="F66" s="4" t="s">
        <v>1052</v>
      </c>
      <c r="G66" s="6" t="s">
        <v>941</v>
      </c>
      <c r="H66" s="14" t="s">
        <v>51</v>
      </c>
      <c r="I66" s="14" t="s">
        <v>52</v>
      </c>
      <c r="J66" s="14" t="s">
        <v>53</v>
      </c>
      <c r="K66" s="7">
        <v>45721</v>
      </c>
      <c r="L66" s="7" t="str">
        <f t="shared" ca="1" si="3"/>
        <v>1 Years 0 Months</v>
      </c>
      <c r="M66" s="7" t="s">
        <v>31</v>
      </c>
      <c r="N66" s="7" t="s">
        <v>11</v>
      </c>
      <c r="O66" s="7" t="s">
        <v>1053</v>
      </c>
      <c r="P66" s="6" t="s">
        <v>32</v>
      </c>
      <c r="Q66" s="15" t="s">
        <v>635</v>
      </c>
      <c r="R66" s="6" t="s">
        <v>1054</v>
      </c>
      <c r="S66" s="6" t="s">
        <v>35</v>
      </c>
      <c r="T66" s="34" t="s">
        <v>1787</v>
      </c>
      <c r="U66" s="14" t="s">
        <v>1055</v>
      </c>
      <c r="V66" s="6" t="s">
        <v>36</v>
      </c>
      <c r="W66" s="10">
        <v>32549</v>
      </c>
      <c r="X66" s="10" t="str">
        <f t="shared" ref="X66:X89" ca="1" si="5">DATEDIF(W66, TODAY(), "Y") &amp; " Years "</f>
        <v xml:space="preserve">37 Years </v>
      </c>
      <c r="Y66" s="14">
        <v>9580802070</v>
      </c>
      <c r="Z66" s="14" t="s">
        <v>1056</v>
      </c>
      <c r="AA66" s="14" t="s">
        <v>1057</v>
      </c>
      <c r="AB66" s="6" t="s">
        <v>80</v>
      </c>
      <c r="AC66" s="12">
        <v>100061947079</v>
      </c>
      <c r="AD66" s="6" t="s">
        <v>41</v>
      </c>
      <c r="AE66" s="13">
        <v>41973</v>
      </c>
      <c r="AF66" s="14" t="s">
        <v>354</v>
      </c>
      <c r="AG66" s="14" t="s">
        <v>60</v>
      </c>
      <c r="AH66" s="14">
        <v>20181768996</v>
      </c>
      <c r="AI66" s="14" t="s">
        <v>1058</v>
      </c>
      <c r="AJ66" s="6" t="s">
        <v>63</v>
      </c>
      <c r="AK66" s="6" t="s">
        <v>1059</v>
      </c>
      <c r="AL66" s="6" t="s">
        <v>1060</v>
      </c>
      <c r="AM66" s="19" t="s">
        <v>1061</v>
      </c>
      <c r="AN66" s="19" t="s">
        <v>1062</v>
      </c>
      <c r="AO66" s="19" t="s">
        <v>90</v>
      </c>
      <c r="AP66" s="4" t="s">
        <v>1063</v>
      </c>
      <c r="AQ66" t="s">
        <v>47</v>
      </c>
    </row>
    <row r="67" spans="1:43" x14ac:dyDescent="0.35">
      <c r="A67" s="3">
        <f t="shared" si="4"/>
        <v>66</v>
      </c>
      <c r="B67" s="4" t="s">
        <v>23</v>
      </c>
      <c r="C67" s="14" t="s">
        <v>1064</v>
      </c>
      <c r="D67" s="20" t="s">
        <v>1065</v>
      </c>
      <c r="E67" s="4" t="s">
        <v>1066</v>
      </c>
      <c r="F67" s="4" t="s">
        <v>1067</v>
      </c>
      <c r="G67" s="6" t="s">
        <v>1068</v>
      </c>
      <c r="H67" s="6" t="s">
        <v>1069</v>
      </c>
      <c r="I67" s="6" t="s">
        <v>52</v>
      </c>
      <c r="J67" s="6" t="s">
        <v>1070</v>
      </c>
      <c r="K67" s="7">
        <v>45733</v>
      </c>
      <c r="L67" s="7" t="str">
        <f t="shared" ca="1" si="3"/>
        <v>1 Years 0 Months</v>
      </c>
      <c r="M67" s="7" t="s">
        <v>31</v>
      </c>
      <c r="N67" s="7" t="s">
        <v>11</v>
      </c>
      <c r="O67" s="7" t="s">
        <v>1071</v>
      </c>
      <c r="P67" s="6" t="s">
        <v>32</v>
      </c>
      <c r="Q67" s="6" t="s">
        <v>533</v>
      </c>
      <c r="R67" s="6" t="s">
        <v>1072</v>
      </c>
      <c r="S67" s="6" t="s">
        <v>35</v>
      </c>
      <c r="T67" s="34" t="s">
        <v>1788</v>
      </c>
      <c r="U67" s="14" t="s">
        <v>1073</v>
      </c>
      <c r="V67" s="6" t="s">
        <v>335</v>
      </c>
      <c r="W67" s="10">
        <v>35420</v>
      </c>
      <c r="X67" s="10" t="str">
        <f t="shared" ca="1" si="5"/>
        <v xml:space="preserve">29 Years </v>
      </c>
      <c r="Y67" s="14">
        <v>8800159964</v>
      </c>
      <c r="Z67" s="14" t="s">
        <v>1074</v>
      </c>
      <c r="AA67" s="14" t="s">
        <v>1075</v>
      </c>
      <c r="AB67" s="6" t="s">
        <v>80</v>
      </c>
      <c r="AC67" s="12">
        <v>102047871199</v>
      </c>
      <c r="AD67" s="6" t="s">
        <v>123</v>
      </c>
      <c r="AE67" s="13" t="s">
        <v>31</v>
      </c>
      <c r="AF67" s="6" t="s">
        <v>1076</v>
      </c>
      <c r="AH67" s="14" t="s">
        <v>1077</v>
      </c>
      <c r="AI67" s="14" t="s">
        <v>1078</v>
      </c>
      <c r="AJ67" s="6" t="s">
        <v>63</v>
      </c>
      <c r="AK67" s="6" t="s">
        <v>1079</v>
      </c>
      <c r="AL67" s="6" t="s">
        <v>1080</v>
      </c>
      <c r="AM67" s="19" t="s">
        <v>1081</v>
      </c>
      <c r="AN67" s="19" t="s">
        <v>1082</v>
      </c>
      <c r="AO67" s="19" t="s">
        <v>935</v>
      </c>
      <c r="AP67" s="4" t="s">
        <v>1002</v>
      </c>
      <c r="AQ67" t="s">
        <v>47</v>
      </c>
    </row>
    <row r="68" spans="1:43" x14ac:dyDescent="0.35">
      <c r="A68" s="3">
        <f t="shared" si="4"/>
        <v>67</v>
      </c>
      <c r="B68" s="4" t="s">
        <v>23</v>
      </c>
      <c r="C68" s="26" t="s">
        <v>1083</v>
      </c>
      <c r="D68" s="20" t="s">
        <v>1084</v>
      </c>
      <c r="E68" s="4" t="s">
        <v>1085</v>
      </c>
      <c r="F68" s="4" t="s">
        <v>1086</v>
      </c>
      <c r="G68" s="6" t="s">
        <v>699</v>
      </c>
      <c r="H68" s="6" t="s">
        <v>149</v>
      </c>
      <c r="I68" s="6" t="s">
        <v>150</v>
      </c>
      <c r="J68" s="6" t="s">
        <v>501</v>
      </c>
      <c r="K68" s="7">
        <v>45733</v>
      </c>
      <c r="L68" s="7" t="str">
        <f t="shared" ca="1" si="3"/>
        <v>1 Years 0 Months</v>
      </c>
      <c r="M68" s="7" t="s">
        <v>31</v>
      </c>
      <c r="N68" s="7" t="s">
        <v>54</v>
      </c>
      <c r="O68" s="7" t="s">
        <v>31</v>
      </c>
      <c r="P68" s="6" t="s">
        <v>32</v>
      </c>
      <c r="Q68" s="15" t="s">
        <v>635</v>
      </c>
      <c r="R68" s="6" t="s">
        <v>1087</v>
      </c>
      <c r="S68" s="6" t="s">
        <v>153</v>
      </c>
      <c r="T68" s="34" t="s">
        <v>1789</v>
      </c>
      <c r="U68" s="14" t="s">
        <v>1088</v>
      </c>
      <c r="V68" s="6" t="s">
        <v>36</v>
      </c>
      <c r="W68" s="10">
        <v>34723</v>
      </c>
      <c r="X68" s="10" t="str">
        <f t="shared" ca="1" si="5"/>
        <v xml:space="preserve">31 Years </v>
      </c>
      <c r="Y68" s="14">
        <v>8178234621</v>
      </c>
      <c r="Z68" s="14" t="s">
        <v>1089</v>
      </c>
      <c r="AA68" s="14" t="s">
        <v>1090</v>
      </c>
      <c r="AB68" s="6" t="s">
        <v>80</v>
      </c>
      <c r="AC68" s="12">
        <v>101435601610</v>
      </c>
      <c r="AD68" s="6" t="s">
        <v>41</v>
      </c>
      <c r="AE68" s="13">
        <v>44985</v>
      </c>
      <c r="AF68" s="14" t="s">
        <v>59</v>
      </c>
      <c r="AG68" s="14" t="s">
        <v>60</v>
      </c>
      <c r="AH68" s="14" t="s">
        <v>1091</v>
      </c>
      <c r="AI68" s="14" t="s">
        <v>1092</v>
      </c>
      <c r="AJ68" s="6" t="s">
        <v>1093</v>
      </c>
      <c r="AK68" s="6" t="s">
        <v>1094</v>
      </c>
      <c r="AL68" s="6" t="s">
        <v>1095</v>
      </c>
      <c r="AM68" s="19" t="s">
        <v>1096</v>
      </c>
      <c r="AN68" s="19" t="s">
        <v>1097</v>
      </c>
      <c r="AO68" s="19" t="s">
        <v>68</v>
      </c>
      <c r="AP68" s="4" t="s">
        <v>1098</v>
      </c>
      <c r="AQ68" t="s">
        <v>47</v>
      </c>
    </row>
    <row r="69" spans="1:43" x14ac:dyDescent="0.35">
      <c r="A69" s="3">
        <f t="shared" si="4"/>
        <v>68</v>
      </c>
      <c r="B69" s="4" t="s">
        <v>23</v>
      </c>
      <c r="C69" s="14" t="s">
        <v>1099</v>
      </c>
      <c r="D69" s="20" t="s">
        <v>1100</v>
      </c>
      <c r="E69" s="4" t="s">
        <v>1101</v>
      </c>
      <c r="F69" s="4" t="s">
        <v>1102</v>
      </c>
      <c r="G69" s="6" t="s">
        <v>941</v>
      </c>
      <c r="H69" s="14" t="s">
        <v>117</v>
      </c>
      <c r="I69" s="14" t="s">
        <v>52</v>
      </c>
      <c r="J69" s="14" t="s">
        <v>417</v>
      </c>
      <c r="K69" s="7">
        <v>45748</v>
      </c>
      <c r="L69" s="7" t="str">
        <f t="shared" ca="1" si="3"/>
        <v>0 Years 11 Months</v>
      </c>
      <c r="M69" s="7" t="s">
        <v>31</v>
      </c>
      <c r="N69" s="7" t="s">
        <v>11</v>
      </c>
      <c r="O69" s="7" t="s">
        <v>1103</v>
      </c>
      <c r="P69" s="6" t="s">
        <v>32</v>
      </c>
      <c r="Q69" s="6" t="s">
        <v>533</v>
      </c>
      <c r="R69" s="6" t="s">
        <v>1104</v>
      </c>
      <c r="S69" s="6" t="s">
        <v>419</v>
      </c>
      <c r="T69" s="34" t="s">
        <v>1790</v>
      </c>
      <c r="U69" s="14" t="s">
        <v>1105</v>
      </c>
      <c r="V69" s="6" t="s">
        <v>36</v>
      </c>
      <c r="W69" s="10">
        <v>36912</v>
      </c>
      <c r="X69" s="10" t="str">
        <f t="shared" ca="1" si="5"/>
        <v xml:space="preserve">25 Years </v>
      </c>
      <c r="Y69" s="14">
        <v>9419687890</v>
      </c>
      <c r="Z69" s="14" t="s">
        <v>1106</v>
      </c>
      <c r="AA69" s="14" t="s">
        <v>1107</v>
      </c>
      <c r="AB69" s="6" t="s">
        <v>80</v>
      </c>
      <c r="AC69" s="12">
        <v>102081773791</v>
      </c>
      <c r="AD69" s="6" t="s">
        <v>123</v>
      </c>
      <c r="AE69" s="13" t="s">
        <v>31</v>
      </c>
      <c r="AF69" s="14" t="s">
        <v>59</v>
      </c>
      <c r="AG69" s="14" t="s">
        <v>60</v>
      </c>
      <c r="AH69" s="14" t="s">
        <v>1108</v>
      </c>
      <c r="AI69" s="14" t="s">
        <v>1109</v>
      </c>
      <c r="AJ69" s="6" t="s">
        <v>161</v>
      </c>
      <c r="AK69" s="6" t="s">
        <v>1110</v>
      </c>
      <c r="AL69" s="6" t="s">
        <v>1111</v>
      </c>
      <c r="AM69" s="19" t="s">
        <v>1112</v>
      </c>
      <c r="AN69" s="19" t="s">
        <v>1104</v>
      </c>
      <c r="AO69" s="19" t="s">
        <v>181</v>
      </c>
      <c r="AP69" s="4" t="s">
        <v>781</v>
      </c>
      <c r="AQ69" t="s">
        <v>47</v>
      </c>
    </row>
    <row r="70" spans="1:43" x14ac:dyDescent="0.35">
      <c r="A70" s="3">
        <f t="shared" si="4"/>
        <v>69</v>
      </c>
      <c r="B70" s="4" t="s">
        <v>23</v>
      </c>
      <c r="C70" s="26" t="s">
        <v>1113</v>
      </c>
      <c r="D70" s="20" t="s">
        <v>1114</v>
      </c>
      <c r="E70" s="4" t="s">
        <v>1115</v>
      </c>
      <c r="F70" s="4" t="s">
        <v>72</v>
      </c>
      <c r="G70" s="6" t="s">
        <v>1116</v>
      </c>
      <c r="H70" s="6" t="s">
        <v>96</v>
      </c>
      <c r="I70" s="6" t="s">
        <v>97</v>
      </c>
      <c r="J70" s="6" t="s">
        <v>592</v>
      </c>
      <c r="K70" s="7">
        <v>45780</v>
      </c>
      <c r="L70" s="7" t="str">
        <f t="shared" ca="1" si="3"/>
        <v>0 Years 10 Months</v>
      </c>
      <c r="M70" s="7" t="s">
        <v>31</v>
      </c>
      <c r="N70" s="7" t="s">
        <v>54</v>
      </c>
      <c r="O70" s="7" t="s">
        <v>31</v>
      </c>
      <c r="P70" s="6" t="s">
        <v>32</v>
      </c>
      <c r="Q70" s="6" t="s">
        <v>533</v>
      </c>
      <c r="R70" s="6" t="s">
        <v>843</v>
      </c>
      <c r="S70" s="6" t="s">
        <v>35</v>
      </c>
      <c r="T70" s="34" t="s">
        <v>1791</v>
      </c>
      <c r="U70" s="14" t="s">
        <v>1117</v>
      </c>
      <c r="V70" s="6" t="s">
        <v>36</v>
      </c>
      <c r="W70" s="10">
        <v>37257</v>
      </c>
      <c r="X70" s="10" t="str">
        <f t="shared" ca="1" si="5"/>
        <v xml:space="preserve">24 Years </v>
      </c>
      <c r="Y70" s="14">
        <v>9582742382</v>
      </c>
      <c r="Z70" s="14" t="s">
        <v>1118</v>
      </c>
      <c r="AA70" s="14" t="s">
        <v>1119</v>
      </c>
      <c r="AB70" s="6" t="s">
        <v>80</v>
      </c>
      <c r="AC70" s="12" t="s">
        <v>1120</v>
      </c>
      <c r="AD70" s="6" t="s">
        <v>123</v>
      </c>
      <c r="AE70" s="13" t="s">
        <v>31</v>
      </c>
      <c r="AF70" s="6" t="s">
        <v>1121</v>
      </c>
      <c r="AG70" s="6" t="s">
        <v>1122</v>
      </c>
      <c r="AH70" s="14" t="s">
        <v>1123</v>
      </c>
      <c r="AI70" s="14" t="s">
        <v>1124</v>
      </c>
      <c r="AJ70" s="6" t="s">
        <v>63</v>
      </c>
      <c r="AK70" s="6" t="s">
        <v>1125</v>
      </c>
      <c r="AL70" s="6" t="s">
        <v>1126</v>
      </c>
      <c r="AM70" s="19" t="s">
        <v>1127</v>
      </c>
      <c r="AN70" s="19" t="s">
        <v>843</v>
      </c>
      <c r="AO70" s="19" t="s">
        <v>181</v>
      </c>
      <c r="AP70" s="4" t="s">
        <v>781</v>
      </c>
      <c r="AQ70" t="s">
        <v>47</v>
      </c>
    </row>
    <row r="71" spans="1:43" x14ac:dyDescent="0.35">
      <c r="A71" s="3">
        <f t="shared" si="4"/>
        <v>70</v>
      </c>
      <c r="B71" s="4" t="s">
        <v>23</v>
      </c>
      <c r="C71" s="26" t="s">
        <v>1128</v>
      </c>
      <c r="D71" s="20" t="s">
        <v>1129</v>
      </c>
      <c r="E71" s="4" t="s">
        <v>1130</v>
      </c>
      <c r="F71" s="4" t="s">
        <v>1131</v>
      </c>
      <c r="G71" s="6" t="s">
        <v>941</v>
      </c>
      <c r="H71" s="14" t="s">
        <v>117</v>
      </c>
      <c r="I71" s="14" t="s">
        <v>52</v>
      </c>
      <c r="J71" s="14" t="s">
        <v>298</v>
      </c>
      <c r="K71" s="25">
        <v>45803</v>
      </c>
      <c r="L71" s="7" t="str">
        <f t="shared" ca="1" si="3"/>
        <v>0 Years 9 Months</v>
      </c>
      <c r="M71" s="7" t="s">
        <v>31</v>
      </c>
      <c r="N71" s="7" t="s">
        <v>11</v>
      </c>
      <c r="O71" s="7" t="s">
        <v>1132</v>
      </c>
      <c r="P71" s="6" t="s">
        <v>32</v>
      </c>
      <c r="Q71" s="6" t="s">
        <v>533</v>
      </c>
      <c r="R71" s="6" t="s">
        <v>1133</v>
      </c>
      <c r="S71" s="6" t="s">
        <v>300</v>
      </c>
      <c r="T71" s="34" t="s">
        <v>1792</v>
      </c>
      <c r="U71" s="14" t="s">
        <v>1134</v>
      </c>
      <c r="V71" s="6" t="s">
        <v>36</v>
      </c>
      <c r="W71" s="10">
        <v>37019</v>
      </c>
      <c r="X71" s="10" t="str">
        <f t="shared" ca="1" si="5"/>
        <v xml:space="preserve">24 Years </v>
      </c>
      <c r="Y71" s="14">
        <v>9101012017</v>
      </c>
      <c r="Z71" s="14" t="s">
        <v>1135</v>
      </c>
      <c r="AA71" s="14" t="s">
        <v>1136</v>
      </c>
      <c r="AB71" s="6" t="s">
        <v>40</v>
      </c>
      <c r="AC71" s="12" t="s">
        <v>31</v>
      </c>
      <c r="AD71" s="6" t="s">
        <v>123</v>
      </c>
      <c r="AE71" s="13" t="s">
        <v>31</v>
      </c>
      <c r="AF71" s="14" t="s">
        <v>354</v>
      </c>
      <c r="AG71" s="14" t="s">
        <v>60</v>
      </c>
      <c r="AH71" s="14" t="s">
        <v>1137</v>
      </c>
      <c r="AI71" s="14" t="s">
        <v>1138</v>
      </c>
      <c r="AJ71" s="6" t="s">
        <v>63</v>
      </c>
      <c r="AK71" s="6" t="s">
        <v>838</v>
      </c>
      <c r="AL71" s="6" t="s">
        <v>1139</v>
      </c>
      <c r="AM71" s="19" t="s">
        <v>1140</v>
      </c>
      <c r="AN71" s="19" t="s">
        <v>1141</v>
      </c>
      <c r="AO71" s="19" t="s">
        <v>1142</v>
      </c>
      <c r="AP71" s="4" t="s">
        <v>781</v>
      </c>
      <c r="AQ71" t="s">
        <v>47</v>
      </c>
    </row>
    <row r="72" spans="1:43" x14ac:dyDescent="0.35">
      <c r="A72" s="3">
        <f t="shared" si="4"/>
        <v>71</v>
      </c>
      <c r="B72" s="4" t="s">
        <v>23</v>
      </c>
      <c r="C72" s="26" t="s">
        <v>1143</v>
      </c>
      <c r="D72" s="20" t="s">
        <v>1144</v>
      </c>
      <c r="E72" s="4" t="s">
        <v>829</v>
      </c>
      <c r="F72" s="4" t="s">
        <v>1145</v>
      </c>
      <c r="G72" s="6" t="s">
        <v>941</v>
      </c>
      <c r="H72" s="14" t="s">
        <v>117</v>
      </c>
      <c r="I72" s="14" t="s">
        <v>52</v>
      </c>
      <c r="J72" s="14" t="s">
        <v>298</v>
      </c>
      <c r="K72" s="25">
        <v>45810</v>
      </c>
      <c r="L72" s="7" t="str">
        <f t="shared" ca="1" si="3"/>
        <v>0 Years 9 Months</v>
      </c>
      <c r="M72" s="7" t="s">
        <v>31</v>
      </c>
      <c r="N72" s="7" t="s">
        <v>11</v>
      </c>
      <c r="O72" s="7" t="s">
        <v>1146</v>
      </c>
      <c r="P72" s="6" t="s">
        <v>32</v>
      </c>
      <c r="Q72" s="6" t="s">
        <v>533</v>
      </c>
      <c r="R72" s="6" t="s">
        <v>1147</v>
      </c>
      <c r="S72" s="6" t="s">
        <v>1148</v>
      </c>
      <c r="T72" s="34" t="s">
        <v>1793</v>
      </c>
      <c r="U72" s="14" t="s">
        <v>1149</v>
      </c>
      <c r="V72" s="6" t="s">
        <v>36</v>
      </c>
      <c r="W72" s="10">
        <v>32779</v>
      </c>
      <c r="X72" s="10" t="str">
        <f t="shared" ca="1" si="5"/>
        <v xml:space="preserve">36 Years </v>
      </c>
      <c r="Y72" s="14">
        <v>8580771859</v>
      </c>
      <c r="Z72" s="14" t="s">
        <v>1150</v>
      </c>
      <c r="AA72" s="14" t="s">
        <v>1151</v>
      </c>
      <c r="AB72" s="6" t="s">
        <v>40</v>
      </c>
      <c r="AC72" s="12" t="s">
        <v>31</v>
      </c>
      <c r="AD72" s="6" t="s">
        <v>41</v>
      </c>
      <c r="AE72" s="13">
        <v>43050</v>
      </c>
      <c r="AF72" s="14" t="s">
        <v>59</v>
      </c>
      <c r="AG72" s="14" t="s">
        <v>1152</v>
      </c>
      <c r="AH72" s="14" t="s">
        <v>1153</v>
      </c>
      <c r="AI72" s="14" t="s">
        <v>1154</v>
      </c>
      <c r="AJ72" s="6" t="s">
        <v>85</v>
      </c>
      <c r="AK72" s="6" t="s">
        <v>838</v>
      </c>
      <c r="AL72" s="6" t="s">
        <v>839</v>
      </c>
      <c r="AM72" s="19" t="s">
        <v>1155</v>
      </c>
      <c r="AN72" s="21" t="s">
        <v>1156</v>
      </c>
      <c r="AO72" s="19" t="s">
        <v>181</v>
      </c>
      <c r="AP72" s="4" t="s">
        <v>1157</v>
      </c>
      <c r="AQ72" t="s">
        <v>47</v>
      </c>
    </row>
    <row r="73" spans="1:43" x14ac:dyDescent="0.35">
      <c r="A73" s="3">
        <f t="shared" si="4"/>
        <v>72</v>
      </c>
      <c r="B73" s="4" t="s">
        <v>23</v>
      </c>
      <c r="C73" s="26" t="s">
        <v>1158</v>
      </c>
      <c r="D73" s="20" t="s">
        <v>1159</v>
      </c>
      <c r="E73" s="4" t="s">
        <v>1160</v>
      </c>
      <c r="F73" s="4" t="s">
        <v>1161</v>
      </c>
      <c r="G73" s="6" t="s">
        <v>941</v>
      </c>
      <c r="H73" s="14" t="s">
        <v>117</v>
      </c>
      <c r="I73" s="14" t="s">
        <v>52</v>
      </c>
      <c r="J73" s="14" t="s">
        <v>417</v>
      </c>
      <c r="K73" s="25">
        <v>45821</v>
      </c>
      <c r="L73" s="7" t="str">
        <f t="shared" ref="L73:L88" ca="1" si="6">IF(K73="","",DATEDIF(K73,TODAY(),"Y")&amp;" Years "&amp; DATEDIF(K73,TODAY(),"YM")&amp;" Months")</f>
        <v>0 Years 9 Months</v>
      </c>
      <c r="M73" s="7" t="s">
        <v>31</v>
      </c>
      <c r="N73" s="7" t="s">
        <v>11</v>
      </c>
      <c r="O73" s="7" t="s">
        <v>1162</v>
      </c>
      <c r="P73" s="6" t="s">
        <v>32</v>
      </c>
      <c r="Q73" s="6" t="s">
        <v>533</v>
      </c>
      <c r="R73" s="6" t="s">
        <v>1163</v>
      </c>
      <c r="S73" s="6" t="s">
        <v>419</v>
      </c>
      <c r="T73" s="43" t="s">
        <v>1794</v>
      </c>
      <c r="U73" s="14" t="s">
        <v>1164</v>
      </c>
      <c r="V73" s="6" t="s">
        <v>36</v>
      </c>
      <c r="W73" s="10">
        <v>35068</v>
      </c>
      <c r="X73" s="10" t="str">
        <f t="shared" ca="1" si="5"/>
        <v xml:space="preserve">30 Years </v>
      </c>
      <c r="Y73" s="14">
        <v>6005914317</v>
      </c>
      <c r="Z73" s="14" t="s">
        <v>1165</v>
      </c>
      <c r="AA73" s="14" t="s">
        <v>1166</v>
      </c>
      <c r="AB73" s="6" t="s">
        <v>1167</v>
      </c>
      <c r="AC73" s="12" t="s">
        <v>31</v>
      </c>
      <c r="AD73" s="6" t="s">
        <v>123</v>
      </c>
      <c r="AE73" s="13" t="s">
        <v>31</v>
      </c>
      <c r="AF73" s="14" t="s">
        <v>59</v>
      </c>
      <c r="AG73" s="14" t="s">
        <v>60</v>
      </c>
      <c r="AH73" s="14" t="s">
        <v>1168</v>
      </c>
      <c r="AI73" s="14" t="s">
        <v>1169</v>
      </c>
      <c r="AJ73" s="6" t="s">
        <v>106</v>
      </c>
      <c r="AK73" s="6" t="s">
        <v>1170</v>
      </c>
      <c r="AL73" s="6" t="s">
        <v>1171</v>
      </c>
      <c r="AM73" s="19" t="s">
        <v>1172</v>
      </c>
      <c r="AN73" s="19" t="s">
        <v>1173</v>
      </c>
      <c r="AO73" s="19" t="s">
        <v>826</v>
      </c>
      <c r="AP73" s="19" t="s">
        <v>1033</v>
      </c>
      <c r="AQ73" t="s">
        <v>47</v>
      </c>
    </row>
    <row r="74" spans="1:43" x14ac:dyDescent="0.35">
      <c r="A74" s="3">
        <f t="shared" si="4"/>
        <v>73</v>
      </c>
      <c r="B74" s="4" t="s">
        <v>23</v>
      </c>
      <c r="C74" s="26" t="s">
        <v>1174</v>
      </c>
      <c r="D74" s="20" t="s">
        <v>1175</v>
      </c>
      <c r="E74" s="4" t="s">
        <v>1176</v>
      </c>
      <c r="F74" s="4" t="s">
        <v>1177</v>
      </c>
      <c r="G74" s="6" t="s">
        <v>941</v>
      </c>
      <c r="H74" s="14" t="s">
        <v>117</v>
      </c>
      <c r="I74" s="14" t="s">
        <v>52</v>
      </c>
      <c r="J74" s="14" t="s">
        <v>298</v>
      </c>
      <c r="K74" s="25">
        <v>45821</v>
      </c>
      <c r="L74" s="7" t="str">
        <f t="shared" ca="1" si="6"/>
        <v>0 Years 9 Months</v>
      </c>
      <c r="M74" s="7" t="s">
        <v>31</v>
      </c>
      <c r="N74" s="7" t="s">
        <v>11</v>
      </c>
      <c r="O74" s="7" t="s">
        <v>1178</v>
      </c>
      <c r="P74" s="6" t="s">
        <v>32</v>
      </c>
      <c r="Q74" s="6" t="s">
        <v>533</v>
      </c>
      <c r="R74" s="6" t="s">
        <v>1179</v>
      </c>
      <c r="S74" s="6" t="s">
        <v>1180</v>
      </c>
      <c r="T74" s="34" t="s">
        <v>1795</v>
      </c>
      <c r="U74" s="14" t="s">
        <v>1181</v>
      </c>
      <c r="V74" s="6" t="s">
        <v>36</v>
      </c>
      <c r="W74" s="10">
        <v>34607</v>
      </c>
      <c r="X74" s="10" t="str">
        <f t="shared" ca="1" si="5"/>
        <v xml:space="preserve">31 Years </v>
      </c>
      <c r="Y74" s="14">
        <v>6009730257</v>
      </c>
      <c r="Z74" s="14" t="s">
        <v>1182</v>
      </c>
      <c r="AA74" s="14" t="s">
        <v>1183</v>
      </c>
      <c r="AB74" s="6" t="s">
        <v>80</v>
      </c>
      <c r="AC74" s="12">
        <v>101690383992</v>
      </c>
      <c r="AD74" s="6" t="s">
        <v>123</v>
      </c>
      <c r="AE74" s="13" t="s">
        <v>31</v>
      </c>
      <c r="AF74" s="14" t="s">
        <v>59</v>
      </c>
      <c r="AG74" s="14" t="s">
        <v>60</v>
      </c>
      <c r="AH74" s="14" t="s">
        <v>1184</v>
      </c>
      <c r="AI74" s="14" t="s">
        <v>1185</v>
      </c>
      <c r="AJ74" s="6" t="s">
        <v>106</v>
      </c>
      <c r="AK74" s="6" t="s">
        <v>1186</v>
      </c>
      <c r="AL74" s="6" t="s">
        <v>1187</v>
      </c>
      <c r="AM74" s="19" t="s">
        <v>1188</v>
      </c>
      <c r="AN74" s="19" t="s">
        <v>1189</v>
      </c>
      <c r="AO74" s="19" t="s">
        <v>181</v>
      </c>
      <c r="AP74" s="4" t="s">
        <v>781</v>
      </c>
      <c r="AQ74" t="s">
        <v>47</v>
      </c>
    </row>
    <row r="75" spans="1:43" x14ac:dyDescent="0.35">
      <c r="A75" s="3">
        <f t="shared" si="4"/>
        <v>74</v>
      </c>
      <c r="B75" s="4" t="s">
        <v>23</v>
      </c>
      <c r="C75" s="26" t="s">
        <v>1190</v>
      </c>
      <c r="D75" s="20" t="s">
        <v>1191</v>
      </c>
      <c r="E75" s="4" t="s">
        <v>1192</v>
      </c>
      <c r="F75" s="4" t="s">
        <v>1193</v>
      </c>
      <c r="G75" s="6" t="s">
        <v>1194</v>
      </c>
      <c r="H75" s="6" t="s">
        <v>1195</v>
      </c>
      <c r="I75" s="6" t="s">
        <v>384</v>
      </c>
      <c r="J75" s="6" t="s">
        <v>166</v>
      </c>
      <c r="K75" s="25">
        <v>45839</v>
      </c>
      <c r="L75" s="7" t="str">
        <f t="shared" ca="1" si="6"/>
        <v>0 Years 8 Months</v>
      </c>
      <c r="M75" s="7" t="s">
        <v>31</v>
      </c>
      <c r="N75" s="7" t="s">
        <v>11</v>
      </c>
      <c r="O75" s="7" t="s">
        <v>1196</v>
      </c>
      <c r="P75" s="6" t="s">
        <v>32</v>
      </c>
      <c r="Q75" s="6" t="s">
        <v>533</v>
      </c>
      <c r="R75" s="6" t="s">
        <v>1197</v>
      </c>
      <c r="S75" s="6" t="s">
        <v>35</v>
      </c>
      <c r="T75" s="34" t="s">
        <v>1796</v>
      </c>
      <c r="U75" s="14" t="s">
        <v>1198</v>
      </c>
      <c r="V75" s="6" t="s">
        <v>36</v>
      </c>
      <c r="W75" s="10">
        <v>37398</v>
      </c>
      <c r="X75" s="10" t="str">
        <f t="shared" ca="1" si="5"/>
        <v xml:space="preserve">23 Years </v>
      </c>
      <c r="Y75" s="14">
        <v>9896316726</v>
      </c>
      <c r="Z75" s="14" t="s">
        <v>1199</v>
      </c>
      <c r="AA75" s="14" t="s">
        <v>1200</v>
      </c>
      <c r="AB75" s="6" t="s">
        <v>80</v>
      </c>
      <c r="AC75" s="12">
        <v>101931049899</v>
      </c>
      <c r="AD75" s="6" t="s">
        <v>123</v>
      </c>
      <c r="AE75" s="13" t="s">
        <v>31</v>
      </c>
      <c r="AF75" s="14" t="s">
        <v>59</v>
      </c>
      <c r="AG75" s="14" t="s">
        <v>60</v>
      </c>
      <c r="AH75" s="14" t="s">
        <v>1201</v>
      </c>
      <c r="AI75" s="14" t="s">
        <v>1202</v>
      </c>
      <c r="AJ75" s="6" t="s">
        <v>85</v>
      </c>
      <c r="AK75" s="6" t="s">
        <v>1203</v>
      </c>
      <c r="AL75" s="6" t="s">
        <v>1204</v>
      </c>
      <c r="AM75" s="19" t="s">
        <v>1205</v>
      </c>
      <c r="AN75" s="19" t="s">
        <v>1206</v>
      </c>
      <c r="AO75" s="19" t="s">
        <v>312</v>
      </c>
      <c r="AP75" s="4" t="s">
        <v>1002</v>
      </c>
      <c r="AQ75" t="s">
        <v>47</v>
      </c>
    </row>
    <row r="76" spans="1:43" x14ac:dyDescent="0.35">
      <c r="A76" s="3">
        <f t="shared" si="4"/>
        <v>75</v>
      </c>
      <c r="B76" s="4" t="s">
        <v>23</v>
      </c>
      <c r="C76" s="26" t="s">
        <v>1207</v>
      </c>
      <c r="D76" s="20" t="s">
        <v>991</v>
      </c>
      <c r="E76" s="4" t="s">
        <v>1208</v>
      </c>
      <c r="F76" s="4" t="s">
        <v>1209</v>
      </c>
      <c r="G76" s="6" t="s">
        <v>1210</v>
      </c>
      <c r="H76" s="14" t="s">
        <v>990</v>
      </c>
      <c r="I76" s="14" t="s">
        <v>384</v>
      </c>
      <c r="J76" s="14" t="s">
        <v>384</v>
      </c>
      <c r="K76" s="25">
        <v>45839</v>
      </c>
      <c r="L76" s="7" t="str">
        <f t="shared" ca="1" si="6"/>
        <v>0 Years 8 Months</v>
      </c>
      <c r="M76" s="7" t="s">
        <v>31</v>
      </c>
      <c r="N76" s="7" t="s">
        <v>11</v>
      </c>
      <c r="O76" s="7" t="s">
        <v>1211</v>
      </c>
      <c r="P76" s="6" t="s">
        <v>1212</v>
      </c>
      <c r="Q76" s="6" t="s">
        <v>533</v>
      </c>
      <c r="R76" s="6" t="s">
        <v>1213</v>
      </c>
      <c r="S76" s="6" t="s">
        <v>35</v>
      </c>
      <c r="T76" s="34" t="s">
        <v>1797</v>
      </c>
      <c r="U76" s="14" t="s">
        <v>1214</v>
      </c>
      <c r="V76" s="6" t="s">
        <v>335</v>
      </c>
      <c r="W76" s="10">
        <v>31308</v>
      </c>
      <c r="X76" s="10" t="str">
        <f t="shared" ca="1" si="5"/>
        <v xml:space="preserve">40 Years </v>
      </c>
      <c r="Y76" s="14">
        <v>9827812615</v>
      </c>
      <c r="Z76" s="14" t="s">
        <v>1215</v>
      </c>
      <c r="AA76" s="14" t="s">
        <v>1216</v>
      </c>
      <c r="AB76" s="6" t="s">
        <v>80</v>
      </c>
      <c r="AC76" s="12">
        <v>101410170399</v>
      </c>
      <c r="AD76" s="6" t="s">
        <v>41</v>
      </c>
      <c r="AE76" s="13">
        <v>42110</v>
      </c>
      <c r="AF76" s="6" t="s">
        <v>1217</v>
      </c>
      <c r="AG76" s="6" t="s">
        <v>990</v>
      </c>
      <c r="AH76" s="14" t="s">
        <v>1218</v>
      </c>
      <c r="AI76" s="14" t="s">
        <v>1219</v>
      </c>
      <c r="AJ76" s="6" t="s">
        <v>85</v>
      </c>
      <c r="AK76" s="6" t="s">
        <v>1220</v>
      </c>
      <c r="AL76" s="6" t="s">
        <v>1221</v>
      </c>
      <c r="AM76" s="19" t="s">
        <v>1222</v>
      </c>
      <c r="AN76" s="19" t="s">
        <v>1223</v>
      </c>
      <c r="AO76" s="19" t="s">
        <v>90</v>
      </c>
      <c r="AP76" s="4" t="s">
        <v>1224</v>
      </c>
      <c r="AQ76" t="s">
        <v>47</v>
      </c>
    </row>
    <row r="77" spans="1:43" x14ac:dyDescent="0.35">
      <c r="A77" s="3">
        <f t="shared" si="4"/>
        <v>76</v>
      </c>
      <c r="B77" s="4" t="s">
        <v>23</v>
      </c>
      <c r="C77" s="26" t="s">
        <v>1225</v>
      </c>
      <c r="D77" s="20" t="s">
        <v>1070</v>
      </c>
      <c r="E77" s="4" t="s">
        <v>1070</v>
      </c>
      <c r="F77" s="4"/>
      <c r="G77" s="6" t="s">
        <v>1226</v>
      </c>
      <c r="H77" s="6" t="s">
        <v>1227</v>
      </c>
      <c r="I77" s="6" t="s">
        <v>52</v>
      </c>
      <c r="J77" s="6" t="s">
        <v>52</v>
      </c>
      <c r="K77" s="7">
        <v>45842</v>
      </c>
      <c r="L77" s="7" t="str">
        <f t="shared" ca="1" si="6"/>
        <v>0 Years 8 Months</v>
      </c>
      <c r="M77" s="7" t="s">
        <v>31</v>
      </c>
      <c r="N77" s="7" t="s">
        <v>11</v>
      </c>
      <c r="O77" s="7" t="s">
        <v>1228</v>
      </c>
      <c r="P77" s="6" t="s">
        <v>32</v>
      </c>
      <c r="Q77" s="6" t="s">
        <v>609</v>
      </c>
      <c r="R77" s="6" t="s">
        <v>1229</v>
      </c>
      <c r="S77" s="6" t="s">
        <v>35</v>
      </c>
      <c r="T77" s="43" t="s">
        <v>1798</v>
      </c>
      <c r="U77" s="14" t="s">
        <v>1230</v>
      </c>
      <c r="V77" s="6" t="s">
        <v>36</v>
      </c>
      <c r="W77" s="10">
        <v>31192</v>
      </c>
      <c r="X77" s="10" t="str">
        <f t="shared" ca="1" si="5"/>
        <v xml:space="preserve">40 Years </v>
      </c>
      <c r="Y77" s="14">
        <v>9899429790</v>
      </c>
      <c r="Z77" s="14" t="s">
        <v>1231</v>
      </c>
      <c r="AA77" s="14" t="s">
        <v>1232</v>
      </c>
      <c r="AB77" s="6" t="s">
        <v>80</v>
      </c>
      <c r="AC77" s="12">
        <v>100902406921</v>
      </c>
      <c r="AD77" s="6" t="s">
        <v>41</v>
      </c>
      <c r="AE77" s="13" t="s">
        <v>157</v>
      </c>
      <c r="AF77" s="6" t="s">
        <v>304</v>
      </c>
      <c r="AG77" s="14" t="s">
        <v>1233</v>
      </c>
      <c r="AH77" s="18" t="s">
        <v>1234</v>
      </c>
      <c r="AI77" s="14" t="s">
        <v>1235</v>
      </c>
      <c r="AJ77" s="6" t="s">
        <v>85</v>
      </c>
      <c r="AK77" s="6" t="s">
        <v>1236</v>
      </c>
      <c r="AL77" s="6" t="s">
        <v>1237</v>
      </c>
      <c r="AM77" s="19" t="s">
        <v>1238</v>
      </c>
      <c r="AN77" s="19" t="s">
        <v>1239</v>
      </c>
      <c r="AO77" s="19" t="s">
        <v>90</v>
      </c>
      <c r="AP77" s="4" t="s">
        <v>1224</v>
      </c>
      <c r="AQ77" t="s">
        <v>47</v>
      </c>
    </row>
    <row r="78" spans="1:43" x14ac:dyDescent="0.35">
      <c r="A78" s="3">
        <f t="shared" si="4"/>
        <v>77</v>
      </c>
      <c r="B78" s="4" t="s">
        <v>23</v>
      </c>
      <c r="C78" s="26" t="s">
        <v>1240</v>
      </c>
      <c r="D78" s="20" t="s">
        <v>1241</v>
      </c>
      <c r="E78" s="4" t="s">
        <v>1242</v>
      </c>
      <c r="F78" s="4" t="s">
        <v>1243</v>
      </c>
      <c r="G78" s="6" t="s">
        <v>1244</v>
      </c>
      <c r="H78" s="6" t="s">
        <v>1245</v>
      </c>
      <c r="I78" s="6" t="s">
        <v>150</v>
      </c>
      <c r="J78" s="6" t="s">
        <v>150</v>
      </c>
      <c r="K78" s="7">
        <v>45852</v>
      </c>
      <c r="L78" s="7" t="str">
        <f t="shared" ca="1" si="6"/>
        <v>0 Years 8 Months</v>
      </c>
      <c r="M78" s="7" t="s">
        <v>31</v>
      </c>
      <c r="N78" s="7" t="s">
        <v>11</v>
      </c>
      <c r="O78" s="7" t="s">
        <v>1246</v>
      </c>
      <c r="P78" s="6" t="s">
        <v>1212</v>
      </c>
      <c r="Q78" s="15" t="s">
        <v>635</v>
      </c>
      <c r="R78" s="6" t="s">
        <v>1247</v>
      </c>
      <c r="S78" s="6" t="s">
        <v>35</v>
      </c>
      <c r="T78" s="34" t="s">
        <v>1799</v>
      </c>
      <c r="U78" s="14" t="s">
        <v>1248</v>
      </c>
      <c r="V78" s="6" t="s">
        <v>36</v>
      </c>
      <c r="W78" s="10">
        <v>27026</v>
      </c>
      <c r="X78" s="10" t="str">
        <f t="shared" ca="1" si="5"/>
        <v xml:space="preserve">52 Years </v>
      </c>
      <c r="Y78" s="14">
        <v>9891246357</v>
      </c>
      <c r="Z78" s="14" t="s">
        <v>1249</v>
      </c>
      <c r="AA78" s="14" t="s">
        <v>1250</v>
      </c>
      <c r="AB78" s="6" t="s">
        <v>1167</v>
      </c>
      <c r="AC78" s="12" t="s">
        <v>31</v>
      </c>
      <c r="AD78" s="6" t="s">
        <v>41</v>
      </c>
      <c r="AE78" s="13">
        <v>63551</v>
      </c>
      <c r="AF78" s="6" t="s">
        <v>1251</v>
      </c>
      <c r="AG78" s="14" t="s">
        <v>1252</v>
      </c>
      <c r="AH78" s="14" t="s">
        <v>1253</v>
      </c>
      <c r="AI78" s="14" t="s">
        <v>1254</v>
      </c>
      <c r="AJ78" s="6" t="s">
        <v>63</v>
      </c>
      <c r="AK78" s="6" t="s">
        <v>1255</v>
      </c>
      <c r="AL78" s="6" t="s">
        <v>1256</v>
      </c>
      <c r="AM78" s="19" t="s">
        <v>1257</v>
      </c>
      <c r="AN78" s="21" t="s">
        <v>1258</v>
      </c>
      <c r="AO78" s="19" t="s">
        <v>90</v>
      </c>
      <c r="AP78" s="4" t="s">
        <v>1098</v>
      </c>
      <c r="AQ78" t="s">
        <v>47</v>
      </c>
    </row>
    <row r="79" spans="1:43" x14ac:dyDescent="0.35">
      <c r="A79" s="3">
        <f t="shared" si="4"/>
        <v>78</v>
      </c>
      <c r="B79" s="4" t="s">
        <v>23</v>
      </c>
      <c r="C79" s="26" t="s">
        <v>1259</v>
      </c>
      <c r="D79" s="20" t="s">
        <v>1260</v>
      </c>
      <c r="E79" s="4" t="s">
        <v>1261</v>
      </c>
      <c r="F79" s="4" t="s">
        <v>1006</v>
      </c>
      <c r="G79" s="6" t="s">
        <v>1262</v>
      </c>
      <c r="H79" s="6" t="s">
        <v>1195</v>
      </c>
      <c r="I79" s="6" t="s">
        <v>384</v>
      </c>
      <c r="J79" s="6" t="s">
        <v>166</v>
      </c>
      <c r="K79" s="7">
        <v>45888</v>
      </c>
      <c r="L79" s="7" t="str">
        <f t="shared" ca="1" si="6"/>
        <v>0 Years 7 Months</v>
      </c>
      <c r="M79" s="7" t="s">
        <v>31</v>
      </c>
      <c r="N79" s="7" t="s">
        <v>54</v>
      </c>
      <c r="O79" s="7" t="s">
        <v>31</v>
      </c>
      <c r="P79" s="6" t="s">
        <v>32</v>
      </c>
      <c r="Q79" s="6" t="s">
        <v>533</v>
      </c>
      <c r="R79" s="6" t="s">
        <v>1263</v>
      </c>
      <c r="S79" s="6" t="s">
        <v>35</v>
      </c>
      <c r="T79" s="34" t="s">
        <v>1800</v>
      </c>
      <c r="U79" s="14" t="s">
        <v>1264</v>
      </c>
      <c r="V79" s="6" t="s">
        <v>36</v>
      </c>
      <c r="W79" s="10">
        <v>36865</v>
      </c>
      <c r="X79" s="10" t="str">
        <f t="shared" ca="1" si="5"/>
        <v xml:space="preserve">25 Years </v>
      </c>
      <c r="Y79" s="14">
        <v>9810781445</v>
      </c>
      <c r="Z79" s="14" t="s">
        <v>1265</v>
      </c>
      <c r="AA79" s="14" t="s">
        <v>1266</v>
      </c>
      <c r="AB79" s="6" t="s">
        <v>80</v>
      </c>
      <c r="AC79" s="12">
        <v>102236980460</v>
      </c>
      <c r="AD79" s="6" t="s">
        <v>123</v>
      </c>
      <c r="AE79" s="13" t="s">
        <v>31</v>
      </c>
      <c r="AF79" s="14" t="s">
        <v>59</v>
      </c>
      <c r="AG79" s="14" t="s">
        <v>158</v>
      </c>
      <c r="AH79" s="14" t="s">
        <v>1267</v>
      </c>
      <c r="AI79" s="14" t="s">
        <v>1268</v>
      </c>
      <c r="AJ79" s="6" t="s">
        <v>85</v>
      </c>
      <c r="AK79" s="6" t="s">
        <v>1269</v>
      </c>
      <c r="AL79" s="6" t="s">
        <v>1270</v>
      </c>
      <c r="AM79" s="19" t="s">
        <v>1271</v>
      </c>
      <c r="AN79" s="19" t="s">
        <v>1263</v>
      </c>
      <c r="AO79" s="19" t="s">
        <v>181</v>
      </c>
      <c r="AP79" s="4" t="s">
        <v>1002</v>
      </c>
      <c r="AQ79" t="s">
        <v>47</v>
      </c>
    </row>
    <row r="80" spans="1:43" x14ac:dyDescent="0.35">
      <c r="A80" s="3">
        <f t="shared" si="4"/>
        <v>79</v>
      </c>
      <c r="B80" s="4" t="s">
        <v>23</v>
      </c>
      <c r="C80" s="26" t="s">
        <v>1272</v>
      </c>
      <c r="D80" s="20" t="s">
        <v>1273</v>
      </c>
      <c r="E80" s="4" t="s">
        <v>1085</v>
      </c>
      <c r="F80" s="4" t="s">
        <v>1006</v>
      </c>
      <c r="G80" s="6" t="s">
        <v>1274</v>
      </c>
      <c r="H80" s="6" t="s">
        <v>117</v>
      </c>
      <c r="I80" s="6" t="s">
        <v>52</v>
      </c>
      <c r="J80" s="6" t="s">
        <v>417</v>
      </c>
      <c r="K80" s="7">
        <v>45888</v>
      </c>
      <c r="L80" s="7" t="str">
        <f t="shared" ca="1" si="6"/>
        <v>0 Years 7 Months</v>
      </c>
      <c r="M80" s="7" t="s">
        <v>31</v>
      </c>
      <c r="N80" s="7" t="s">
        <v>11</v>
      </c>
      <c r="O80" s="7" t="s">
        <v>1004</v>
      </c>
      <c r="P80" s="6" t="s">
        <v>32</v>
      </c>
      <c r="Q80" s="6" t="s">
        <v>533</v>
      </c>
      <c r="R80" s="6" t="s">
        <v>1275</v>
      </c>
      <c r="S80" s="6" t="s">
        <v>419</v>
      </c>
      <c r="T80" s="34" t="s">
        <v>1801</v>
      </c>
      <c r="U80" s="14" t="s">
        <v>1276</v>
      </c>
      <c r="V80" s="6" t="s">
        <v>36</v>
      </c>
      <c r="W80" s="10">
        <v>37510</v>
      </c>
      <c r="X80" s="10" t="str">
        <f t="shared" ca="1" si="5"/>
        <v xml:space="preserve">23 Years </v>
      </c>
      <c r="Y80" s="14">
        <v>8825072340</v>
      </c>
      <c r="Z80" s="14" t="s">
        <v>1277</v>
      </c>
      <c r="AA80" s="14" t="s">
        <v>1278</v>
      </c>
      <c r="AB80" s="6" t="s">
        <v>80</v>
      </c>
      <c r="AC80" s="12">
        <v>102236955321</v>
      </c>
      <c r="AD80" s="6" t="s">
        <v>123</v>
      </c>
      <c r="AE80" s="13" t="s">
        <v>31</v>
      </c>
      <c r="AF80" s="14" t="s">
        <v>59</v>
      </c>
      <c r="AG80" s="14" t="s">
        <v>60</v>
      </c>
      <c r="AH80" s="14" t="s">
        <v>1279</v>
      </c>
      <c r="AI80" s="14" t="s">
        <v>1280</v>
      </c>
      <c r="AJ80" s="6" t="s">
        <v>85</v>
      </c>
      <c r="AK80" s="6" t="s">
        <v>1281</v>
      </c>
      <c r="AL80" s="6" t="s">
        <v>1281</v>
      </c>
      <c r="AM80" s="19" t="s">
        <v>1282</v>
      </c>
      <c r="AN80" s="19" t="s">
        <v>1283</v>
      </c>
      <c r="AO80" s="19" t="s">
        <v>312</v>
      </c>
      <c r="AP80" s="4" t="s">
        <v>781</v>
      </c>
      <c r="AQ80" t="s">
        <v>47</v>
      </c>
    </row>
    <row r="81" spans="1:43" x14ac:dyDescent="0.35">
      <c r="A81" s="3">
        <f t="shared" si="4"/>
        <v>80</v>
      </c>
      <c r="B81" s="4" t="s">
        <v>23</v>
      </c>
      <c r="C81" s="26" t="s">
        <v>1284</v>
      </c>
      <c r="D81" s="20" t="s">
        <v>1285</v>
      </c>
      <c r="E81" s="4" t="s">
        <v>1286</v>
      </c>
      <c r="F81" s="4" t="s">
        <v>1287</v>
      </c>
      <c r="G81" s="6" t="s">
        <v>1274</v>
      </c>
      <c r="H81" s="6" t="s">
        <v>117</v>
      </c>
      <c r="I81" s="6" t="s">
        <v>52</v>
      </c>
      <c r="J81" s="6" t="s">
        <v>298</v>
      </c>
      <c r="K81" s="7">
        <v>45888</v>
      </c>
      <c r="L81" s="7" t="str">
        <f t="shared" ca="1" si="6"/>
        <v>0 Years 7 Months</v>
      </c>
      <c r="M81" s="7" t="s">
        <v>31</v>
      </c>
      <c r="N81" s="7" t="s">
        <v>11</v>
      </c>
      <c r="O81" s="7" t="s">
        <v>1288</v>
      </c>
      <c r="P81" s="6" t="s">
        <v>32</v>
      </c>
      <c r="Q81" s="6" t="s">
        <v>533</v>
      </c>
      <c r="R81" s="6" t="s">
        <v>1289</v>
      </c>
      <c r="S81" s="6" t="s">
        <v>1290</v>
      </c>
      <c r="T81" s="34" t="s">
        <v>1802</v>
      </c>
      <c r="U81" s="14" t="s">
        <v>1291</v>
      </c>
      <c r="V81" s="6" t="s">
        <v>36</v>
      </c>
      <c r="W81" s="10">
        <v>37167</v>
      </c>
      <c r="X81" s="10" t="str">
        <f t="shared" ca="1" si="5"/>
        <v xml:space="preserve">24 Years </v>
      </c>
      <c r="Y81" s="14">
        <v>9101462101</v>
      </c>
      <c r="Z81" s="14" t="s">
        <v>1292</v>
      </c>
      <c r="AA81" s="14" t="s">
        <v>1293</v>
      </c>
      <c r="AB81" s="6" t="s">
        <v>80</v>
      </c>
      <c r="AC81" s="12">
        <v>102023127091</v>
      </c>
      <c r="AD81" s="6" t="s">
        <v>123</v>
      </c>
      <c r="AE81" s="13" t="s">
        <v>31</v>
      </c>
      <c r="AF81" s="14" t="s">
        <v>354</v>
      </c>
      <c r="AG81" s="14" t="s">
        <v>60</v>
      </c>
      <c r="AH81" s="14" t="s">
        <v>1294</v>
      </c>
      <c r="AI81" s="14" t="s">
        <v>1295</v>
      </c>
      <c r="AJ81" s="6" t="s">
        <v>85</v>
      </c>
      <c r="AK81" s="6" t="s">
        <v>1296</v>
      </c>
      <c r="AL81" s="6" t="s">
        <v>1296</v>
      </c>
      <c r="AM81" s="19" t="s">
        <v>1297</v>
      </c>
      <c r="AN81" s="19" t="s">
        <v>1298</v>
      </c>
      <c r="AO81" s="19" t="s">
        <v>826</v>
      </c>
      <c r="AP81" s="4" t="s">
        <v>781</v>
      </c>
      <c r="AQ81" t="s">
        <v>47</v>
      </c>
    </row>
    <row r="82" spans="1:43" x14ac:dyDescent="0.35">
      <c r="A82" s="3">
        <f t="shared" si="4"/>
        <v>81</v>
      </c>
      <c r="B82" s="4" t="s">
        <v>23</v>
      </c>
      <c r="C82" s="26" t="s">
        <v>1299</v>
      </c>
      <c r="D82" s="20" t="s">
        <v>1300</v>
      </c>
      <c r="E82" s="4" t="s">
        <v>1301</v>
      </c>
      <c r="F82" s="4" t="s">
        <v>72</v>
      </c>
      <c r="G82" s="6" t="s">
        <v>1302</v>
      </c>
      <c r="H82" s="46" t="s">
        <v>474</v>
      </c>
      <c r="I82" s="6" t="s">
        <v>75</v>
      </c>
      <c r="J82" s="6" t="s">
        <v>75</v>
      </c>
      <c r="K82" s="7">
        <v>45894</v>
      </c>
      <c r="L82" s="7" t="str">
        <f t="shared" ca="1" si="6"/>
        <v>0 Years 6 Months</v>
      </c>
      <c r="M82" s="7" t="s">
        <v>31</v>
      </c>
      <c r="N82" s="7" t="s">
        <v>54</v>
      </c>
      <c r="O82" s="7" t="s">
        <v>31</v>
      </c>
      <c r="P82" s="6" t="s">
        <v>32</v>
      </c>
      <c r="Q82" s="6" t="s">
        <v>609</v>
      </c>
      <c r="R82" s="6" t="s">
        <v>1303</v>
      </c>
      <c r="S82" s="6" t="s">
        <v>35</v>
      </c>
      <c r="T82" s="34" t="s">
        <v>1803</v>
      </c>
      <c r="U82" s="14" t="s">
        <v>1304</v>
      </c>
      <c r="V82" s="6" t="s">
        <v>36</v>
      </c>
      <c r="W82" s="10">
        <v>36813</v>
      </c>
      <c r="X82" s="10" t="str">
        <f t="shared" ca="1" si="5"/>
        <v xml:space="preserve">25 Years </v>
      </c>
      <c r="Y82" s="14">
        <v>9304453920</v>
      </c>
      <c r="Z82" s="14" t="s">
        <v>1305</v>
      </c>
      <c r="AA82" s="14" t="s">
        <v>1306</v>
      </c>
      <c r="AB82" s="6" t="s">
        <v>80</v>
      </c>
      <c r="AC82" s="12">
        <v>102050299284</v>
      </c>
      <c r="AD82" s="6" t="s">
        <v>123</v>
      </c>
      <c r="AE82" s="13" t="s">
        <v>31</v>
      </c>
      <c r="AF82" s="6" t="s">
        <v>960</v>
      </c>
      <c r="AG82" s="14" t="s">
        <v>961</v>
      </c>
      <c r="AH82" s="14" t="s">
        <v>1307</v>
      </c>
      <c r="AI82" s="14" t="s">
        <v>1308</v>
      </c>
      <c r="AJ82" s="6" t="s">
        <v>106</v>
      </c>
      <c r="AK82" s="6" t="s">
        <v>1309</v>
      </c>
      <c r="AL82" s="6" t="s">
        <v>1310</v>
      </c>
      <c r="AM82" s="19">
        <v>8507208205</v>
      </c>
      <c r="AN82" s="19" t="s">
        <v>1311</v>
      </c>
      <c r="AO82" s="19" t="s">
        <v>68</v>
      </c>
      <c r="AP82" s="4" t="s">
        <v>1312</v>
      </c>
      <c r="AQ82" t="s">
        <v>47</v>
      </c>
    </row>
    <row r="83" spans="1:43" x14ac:dyDescent="0.35">
      <c r="A83" s="3">
        <f t="shared" si="4"/>
        <v>82</v>
      </c>
      <c r="B83" s="4" t="s">
        <v>23</v>
      </c>
      <c r="C83" s="26" t="s">
        <v>1313</v>
      </c>
      <c r="D83" s="6" t="s">
        <v>1314</v>
      </c>
      <c r="E83" s="4" t="s">
        <v>1315</v>
      </c>
      <c r="F83" s="4" t="s">
        <v>1316</v>
      </c>
      <c r="G83" s="6" t="s">
        <v>251</v>
      </c>
      <c r="H83" s="6" t="s">
        <v>51</v>
      </c>
      <c r="I83" s="6" t="s">
        <v>52</v>
      </c>
      <c r="J83" s="6" t="s">
        <v>53</v>
      </c>
      <c r="K83" s="7">
        <v>45967</v>
      </c>
      <c r="L83" s="7" t="str">
        <f t="shared" ca="1" si="6"/>
        <v>0 Years 4 Months</v>
      </c>
      <c r="M83" s="7" t="s">
        <v>31</v>
      </c>
      <c r="N83" s="7" t="s">
        <v>11</v>
      </c>
      <c r="O83" s="58" t="s">
        <v>201</v>
      </c>
      <c r="P83" s="6" t="s">
        <v>1212</v>
      </c>
      <c r="Q83" s="6" t="s">
        <v>533</v>
      </c>
      <c r="R83" s="6" t="s">
        <v>1317</v>
      </c>
      <c r="S83" s="6" t="s">
        <v>35</v>
      </c>
      <c r="T83" s="34" t="s">
        <v>1804</v>
      </c>
      <c r="U83" s="6" t="s">
        <v>1318</v>
      </c>
      <c r="V83" s="6" t="s">
        <v>36</v>
      </c>
      <c r="W83" s="10">
        <v>33114</v>
      </c>
      <c r="X83" s="10" t="str">
        <f t="shared" ca="1" si="5"/>
        <v xml:space="preserve">35 Years </v>
      </c>
      <c r="Y83" s="59" t="s">
        <v>1319</v>
      </c>
      <c r="Z83" s="14" t="s">
        <v>1320</v>
      </c>
      <c r="AA83" s="14" t="s">
        <v>1321</v>
      </c>
      <c r="AB83" s="6" t="s">
        <v>80</v>
      </c>
      <c r="AC83" s="12">
        <v>101424109940</v>
      </c>
      <c r="AD83" s="6" t="s">
        <v>123</v>
      </c>
      <c r="AE83" s="13" t="s">
        <v>31</v>
      </c>
      <c r="AF83" s="6" t="s">
        <v>59</v>
      </c>
      <c r="AG83" s="14" t="s">
        <v>371</v>
      </c>
      <c r="AH83" s="14" t="s">
        <v>1322</v>
      </c>
      <c r="AI83" s="14" t="s">
        <v>1323</v>
      </c>
      <c r="AJ83" s="6" t="s">
        <v>63</v>
      </c>
      <c r="AK83" s="6" t="s">
        <v>1324</v>
      </c>
      <c r="AL83" s="6" t="s">
        <v>1325</v>
      </c>
      <c r="AM83" s="19">
        <v>8637009704</v>
      </c>
      <c r="AN83" s="19" t="s">
        <v>1317</v>
      </c>
      <c r="AO83" s="19" t="s">
        <v>181</v>
      </c>
      <c r="AP83" s="6" t="s">
        <v>1326</v>
      </c>
      <c r="AQ83" t="s">
        <v>47</v>
      </c>
    </row>
    <row r="84" spans="1:43" x14ac:dyDescent="0.35">
      <c r="A84" s="3">
        <f t="shared" si="4"/>
        <v>83</v>
      </c>
      <c r="B84" s="4" t="s">
        <v>23</v>
      </c>
      <c r="C84" s="26" t="s">
        <v>1327</v>
      </c>
      <c r="D84" s="6" t="s">
        <v>1328</v>
      </c>
      <c r="E84" s="4" t="s">
        <v>1329</v>
      </c>
      <c r="F84" s="4" t="s">
        <v>1330</v>
      </c>
      <c r="G84" s="6" t="s">
        <v>1331</v>
      </c>
      <c r="H84" s="17" t="s">
        <v>149</v>
      </c>
      <c r="I84" s="6" t="s">
        <v>150</v>
      </c>
      <c r="J84" s="6" t="s">
        <v>501</v>
      </c>
      <c r="K84" s="7">
        <v>46006</v>
      </c>
      <c r="L84" s="7" t="str">
        <f t="shared" ca="1" si="6"/>
        <v>0 Years 3 Months</v>
      </c>
      <c r="M84" s="7" t="s">
        <v>31</v>
      </c>
      <c r="N84" s="58" t="s">
        <v>54</v>
      </c>
      <c r="O84" s="7" t="s">
        <v>31</v>
      </c>
      <c r="P84" s="6" t="s">
        <v>1212</v>
      </c>
      <c r="Q84" s="15" t="s">
        <v>635</v>
      </c>
      <c r="R84" s="6" t="s">
        <v>1332</v>
      </c>
      <c r="S84" s="6" t="s">
        <v>119</v>
      </c>
      <c r="T84" s="34" t="s">
        <v>1805</v>
      </c>
      <c r="U84" s="6" t="s">
        <v>1333</v>
      </c>
      <c r="V84" s="6" t="s">
        <v>36</v>
      </c>
      <c r="W84" s="10">
        <v>38020</v>
      </c>
      <c r="X84" s="10" t="str">
        <f t="shared" ca="1" si="5"/>
        <v xml:space="preserve">22 Years </v>
      </c>
      <c r="Y84" s="14">
        <v>7404900141</v>
      </c>
      <c r="Z84" s="14" t="s">
        <v>1334</v>
      </c>
      <c r="AA84" s="14" t="s">
        <v>1335</v>
      </c>
      <c r="AB84" s="6" t="s">
        <v>40</v>
      </c>
      <c r="AC84" s="12" t="s">
        <v>31</v>
      </c>
      <c r="AD84" s="6" t="s">
        <v>123</v>
      </c>
      <c r="AE84" s="13" t="s">
        <v>31</v>
      </c>
      <c r="AF84" s="6" t="s">
        <v>59</v>
      </c>
      <c r="AG84" s="14" t="s">
        <v>1336</v>
      </c>
      <c r="AH84" s="14" t="s">
        <v>1337</v>
      </c>
      <c r="AI84" s="14" t="s">
        <v>1338</v>
      </c>
      <c r="AJ84" s="6" t="s">
        <v>85</v>
      </c>
      <c r="AK84" s="6" t="s">
        <v>1339</v>
      </c>
      <c r="AL84" s="6" t="s">
        <v>1339</v>
      </c>
      <c r="AM84" s="19" t="s">
        <v>1340</v>
      </c>
      <c r="AN84" s="19" t="s">
        <v>1341</v>
      </c>
      <c r="AO84" s="19" t="s">
        <v>181</v>
      </c>
      <c r="AP84" s="6" t="s">
        <v>1342</v>
      </c>
      <c r="AQ84" t="s">
        <v>47</v>
      </c>
    </row>
    <row r="85" spans="1:43" x14ac:dyDescent="0.35">
      <c r="A85" s="3">
        <f t="shared" si="4"/>
        <v>84</v>
      </c>
      <c r="B85" s="4" t="s">
        <v>23</v>
      </c>
      <c r="C85" s="26" t="s">
        <v>1343</v>
      </c>
      <c r="D85" s="6" t="s">
        <v>1344</v>
      </c>
      <c r="E85" s="4" t="s">
        <v>1345</v>
      </c>
      <c r="F85" s="4" t="s">
        <v>1346</v>
      </c>
      <c r="G85" s="6" t="s">
        <v>432</v>
      </c>
      <c r="H85" s="17" t="s">
        <v>149</v>
      </c>
      <c r="I85" s="6" t="s">
        <v>150</v>
      </c>
      <c r="J85" s="6" t="s">
        <v>501</v>
      </c>
      <c r="K85" s="7">
        <v>46009</v>
      </c>
      <c r="L85" s="7" t="str">
        <f t="shared" ca="1" si="6"/>
        <v>0 Years 3 Months</v>
      </c>
      <c r="M85" s="7" t="s">
        <v>31</v>
      </c>
      <c r="N85" s="58" t="s">
        <v>54</v>
      </c>
      <c r="O85" s="7" t="s">
        <v>31</v>
      </c>
      <c r="P85" s="6" t="s">
        <v>1212</v>
      </c>
      <c r="Q85" s="15" t="s">
        <v>635</v>
      </c>
      <c r="R85" s="6" t="s">
        <v>1347</v>
      </c>
      <c r="S85" s="6" t="s">
        <v>153</v>
      </c>
      <c r="T85" s="34" t="s">
        <v>1806</v>
      </c>
      <c r="U85" s="6" t="s">
        <v>1348</v>
      </c>
      <c r="V85" s="6" t="s">
        <v>36</v>
      </c>
      <c r="W85" s="10">
        <v>32790</v>
      </c>
      <c r="X85" s="10" t="str">
        <f t="shared" ca="1" si="5"/>
        <v xml:space="preserve">36 Years </v>
      </c>
      <c r="Y85" s="14">
        <v>7438850661</v>
      </c>
      <c r="Z85" s="14" t="s">
        <v>1349</v>
      </c>
      <c r="AA85" s="14" t="s">
        <v>1350</v>
      </c>
      <c r="AB85" s="6" t="s">
        <v>80</v>
      </c>
      <c r="AC85" s="12">
        <v>101152959037</v>
      </c>
      <c r="AD85" s="6" t="s">
        <v>41</v>
      </c>
      <c r="AE85" s="13">
        <v>44603</v>
      </c>
      <c r="AF85" s="6" t="s">
        <v>59</v>
      </c>
      <c r="AG85" s="14" t="s">
        <v>1351</v>
      </c>
      <c r="AH85" s="14" t="s">
        <v>1352</v>
      </c>
      <c r="AI85" s="14" t="s">
        <v>1353</v>
      </c>
      <c r="AJ85" s="6" t="s">
        <v>85</v>
      </c>
      <c r="AK85" s="6" t="s">
        <v>1354</v>
      </c>
      <c r="AL85" s="6" t="s">
        <v>1354</v>
      </c>
      <c r="AM85" s="19">
        <v>9861323112</v>
      </c>
      <c r="AN85" s="19" t="s">
        <v>1355</v>
      </c>
      <c r="AO85" s="19" t="s">
        <v>181</v>
      </c>
      <c r="AP85" s="6" t="s">
        <v>1356</v>
      </c>
      <c r="AQ85" t="s">
        <v>47</v>
      </c>
    </row>
    <row r="86" spans="1:43" x14ac:dyDescent="0.35">
      <c r="A86" s="60">
        <f t="shared" si="4"/>
        <v>85</v>
      </c>
      <c r="B86" s="61" t="s">
        <v>23</v>
      </c>
      <c r="C86" s="62" t="s">
        <v>1357</v>
      </c>
      <c r="D86" s="6" t="s">
        <v>1358</v>
      </c>
      <c r="E86" s="4" t="s">
        <v>1359</v>
      </c>
      <c r="F86" s="4" t="s">
        <v>1360</v>
      </c>
      <c r="G86" s="6" t="s">
        <v>1361</v>
      </c>
      <c r="H86" s="6" t="s">
        <v>1362</v>
      </c>
      <c r="I86" s="6" t="s">
        <v>52</v>
      </c>
      <c r="J86" s="6" t="s">
        <v>298</v>
      </c>
      <c r="K86" s="63">
        <v>46083</v>
      </c>
      <c r="L86" s="58" t="str">
        <f t="shared" ca="1" si="6"/>
        <v>0 Years 0 Months</v>
      </c>
      <c r="M86" s="58" t="s">
        <v>31</v>
      </c>
      <c r="N86" s="58" t="s">
        <v>54</v>
      </c>
      <c r="O86" s="58" t="s">
        <v>31</v>
      </c>
      <c r="P86" s="6" t="s">
        <v>1212</v>
      </c>
      <c r="Q86" s="6" t="s">
        <v>533</v>
      </c>
      <c r="R86" s="6" t="s">
        <v>1363</v>
      </c>
      <c r="S86" s="6" t="s">
        <v>35</v>
      </c>
      <c r="T86" s="64" t="s">
        <v>1807</v>
      </c>
      <c r="U86" s="65" t="s">
        <v>1364</v>
      </c>
      <c r="V86" s="6" t="s">
        <v>36</v>
      </c>
      <c r="W86" s="7">
        <v>35699</v>
      </c>
      <c r="X86" s="6" t="str">
        <f t="shared" ca="1" si="5"/>
        <v xml:space="preserve">28 Years </v>
      </c>
      <c r="Y86" s="14">
        <v>9634115900</v>
      </c>
      <c r="Z86" s="14" t="s">
        <v>1365</v>
      </c>
      <c r="AA86" s="14" t="s">
        <v>1366</v>
      </c>
      <c r="AB86" s="6" t="s">
        <v>40</v>
      </c>
      <c r="AC86" s="17" t="s">
        <v>31</v>
      </c>
      <c r="AD86" s="6" t="s">
        <v>123</v>
      </c>
      <c r="AE86" s="13" t="s">
        <v>31</v>
      </c>
      <c r="AF86" s="6" t="s">
        <v>1367</v>
      </c>
      <c r="AG86" s="14" t="s">
        <v>31</v>
      </c>
      <c r="AH86" s="14">
        <v>39729072946</v>
      </c>
      <c r="AI86" s="14" t="s">
        <v>1368</v>
      </c>
      <c r="AJ86" s="6" t="s">
        <v>85</v>
      </c>
      <c r="AK86" s="6" t="s">
        <v>1369</v>
      </c>
      <c r="AL86" s="6" t="s">
        <v>1370</v>
      </c>
      <c r="AM86" s="6">
        <v>7817950075</v>
      </c>
      <c r="AN86" s="6" t="s">
        <v>1371</v>
      </c>
      <c r="AO86" s="6" t="s">
        <v>68</v>
      </c>
      <c r="AP86" s="6" t="s">
        <v>1372</v>
      </c>
      <c r="AQ86" t="s">
        <v>47</v>
      </c>
    </row>
    <row r="87" spans="1:43" x14ac:dyDescent="0.35">
      <c r="A87" s="60">
        <f t="shared" si="4"/>
        <v>86</v>
      </c>
      <c r="B87" s="61" t="s">
        <v>23</v>
      </c>
      <c r="C87" s="62" t="s">
        <v>1373</v>
      </c>
      <c r="D87" s="6" t="s">
        <v>1374</v>
      </c>
      <c r="E87" s="4" t="s">
        <v>1375</v>
      </c>
      <c r="F87" s="4" t="s">
        <v>1376</v>
      </c>
      <c r="G87" s="6" t="s">
        <v>1377</v>
      </c>
      <c r="H87" s="6" t="s">
        <v>96</v>
      </c>
      <c r="I87" s="6" t="s">
        <v>97</v>
      </c>
      <c r="J87" s="20" t="s">
        <v>592</v>
      </c>
      <c r="K87" s="63">
        <v>46083</v>
      </c>
      <c r="L87" s="58" t="str">
        <f t="shared" ca="1" si="6"/>
        <v>0 Years 0 Months</v>
      </c>
      <c r="M87" s="58" t="s">
        <v>31</v>
      </c>
      <c r="N87" s="58" t="s">
        <v>11</v>
      </c>
      <c r="O87" s="58" t="s">
        <v>1378</v>
      </c>
      <c r="P87" s="6" t="s">
        <v>1212</v>
      </c>
      <c r="Q87" s="6" t="s">
        <v>1379</v>
      </c>
      <c r="R87" s="6" t="s">
        <v>1380</v>
      </c>
      <c r="S87" s="6" t="s">
        <v>35</v>
      </c>
      <c r="T87" s="66" t="s">
        <v>1808</v>
      </c>
      <c r="U87" s="6" t="s">
        <v>1381</v>
      </c>
      <c r="V87" s="6" t="s">
        <v>335</v>
      </c>
      <c r="W87" s="7">
        <v>33690</v>
      </c>
      <c r="X87" s="6" t="str">
        <f t="shared" ca="1" si="5"/>
        <v xml:space="preserve">33 Years </v>
      </c>
      <c r="Y87" s="14">
        <v>9646033044</v>
      </c>
      <c r="Z87" s="14" t="s">
        <v>1382</v>
      </c>
      <c r="AA87" s="14" t="s">
        <v>1383</v>
      </c>
      <c r="AB87" s="6" t="s">
        <v>40</v>
      </c>
      <c r="AC87" s="17" t="s">
        <v>31</v>
      </c>
      <c r="AD87" s="6" t="s">
        <v>31</v>
      </c>
      <c r="AE87" s="13" t="s">
        <v>31</v>
      </c>
      <c r="AF87" s="6" t="s">
        <v>103</v>
      </c>
      <c r="AG87" s="14" t="s">
        <v>31</v>
      </c>
      <c r="AH87" s="14" t="s">
        <v>1384</v>
      </c>
      <c r="AI87" s="14" t="s">
        <v>1385</v>
      </c>
      <c r="AJ87" s="6" t="s">
        <v>85</v>
      </c>
      <c r="AK87" s="6" t="s">
        <v>1386</v>
      </c>
      <c r="AL87" s="6" t="s">
        <v>1386</v>
      </c>
      <c r="AM87" s="6">
        <v>9646121777</v>
      </c>
      <c r="AN87" s="6" t="s">
        <v>1380</v>
      </c>
      <c r="AO87" s="6" t="s">
        <v>181</v>
      </c>
      <c r="AP87" s="6" t="s">
        <v>1387</v>
      </c>
      <c r="AQ87" t="s">
        <v>47</v>
      </c>
    </row>
    <row r="88" spans="1:43" x14ac:dyDescent="0.35">
      <c r="A88" s="60">
        <f t="shared" si="4"/>
        <v>87</v>
      </c>
      <c r="B88" s="61" t="s">
        <v>23</v>
      </c>
      <c r="C88" s="62" t="s">
        <v>1388</v>
      </c>
      <c r="D88" s="6" t="s">
        <v>1389</v>
      </c>
      <c r="E88" s="4" t="s">
        <v>1390</v>
      </c>
      <c r="F88" s="4" t="s">
        <v>1391</v>
      </c>
      <c r="G88" s="6" t="s">
        <v>1392</v>
      </c>
      <c r="H88" s="17" t="s">
        <v>801</v>
      </c>
      <c r="I88" s="6" t="s">
        <v>150</v>
      </c>
      <c r="J88" s="6" t="s">
        <v>1393</v>
      </c>
      <c r="K88" s="63">
        <v>46101</v>
      </c>
      <c r="L88" s="58" t="str">
        <f t="shared" ca="1" si="6"/>
        <v>0 Years 0 Months</v>
      </c>
      <c r="M88" s="58" t="s">
        <v>31</v>
      </c>
      <c r="P88" s="6" t="s">
        <v>1212</v>
      </c>
      <c r="Q88" s="6" t="s">
        <v>1394</v>
      </c>
      <c r="R88" s="6" t="s">
        <v>1395</v>
      </c>
      <c r="S88" s="6" t="s">
        <v>35</v>
      </c>
      <c r="T88" s="67" t="s">
        <v>1809</v>
      </c>
      <c r="U88" s="6" t="s">
        <v>1396</v>
      </c>
      <c r="V88" s="6" t="s">
        <v>36</v>
      </c>
      <c r="W88" s="7">
        <v>34302</v>
      </c>
      <c r="X88" s="6" t="str">
        <f t="shared" ca="1" si="5"/>
        <v xml:space="preserve">32 Years </v>
      </c>
      <c r="Y88" s="14">
        <v>9217040056</v>
      </c>
      <c r="Z88" s="14" t="s">
        <v>1397</v>
      </c>
      <c r="AA88" s="14" t="s">
        <v>1398</v>
      </c>
      <c r="AB88" s="6" t="s">
        <v>40</v>
      </c>
      <c r="AC88" s="17" t="s">
        <v>31</v>
      </c>
      <c r="AD88" s="6" t="s">
        <v>41</v>
      </c>
      <c r="AE88" s="68">
        <v>43793</v>
      </c>
      <c r="AF88" s="6" t="s">
        <v>59</v>
      </c>
      <c r="AG88" s="14" t="s">
        <v>31</v>
      </c>
      <c r="AH88" s="14" t="s">
        <v>1399</v>
      </c>
      <c r="AI88" s="14" t="s">
        <v>1400</v>
      </c>
      <c r="AJ88" s="6" t="s">
        <v>106</v>
      </c>
      <c r="AK88" s="6" t="s">
        <v>1401</v>
      </c>
      <c r="AL88" s="6" t="s">
        <v>1401</v>
      </c>
      <c r="AM88" s="6">
        <v>9217040056</v>
      </c>
      <c r="AP88" s="6" t="s">
        <v>1402</v>
      </c>
      <c r="AQ88" t="s">
        <v>47</v>
      </c>
    </row>
    <row r="89" spans="1:43" x14ac:dyDescent="0.35">
      <c r="A89" s="60">
        <f t="shared" si="4"/>
        <v>88</v>
      </c>
      <c r="B89" s="6" t="s">
        <v>23</v>
      </c>
      <c r="C89" s="26" t="s">
        <v>1403</v>
      </c>
      <c r="D89" s="6" t="s">
        <v>1404</v>
      </c>
      <c r="E89" s="6" t="s">
        <v>1405</v>
      </c>
      <c r="F89" s="6" t="s">
        <v>1406</v>
      </c>
      <c r="G89" s="6" t="s">
        <v>1407</v>
      </c>
      <c r="H89" s="6" t="s">
        <v>1408</v>
      </c>
      <c r="I89" s="6" t="s">
        <v>52</v>
      </c>
      <c r="J89" s="6" t="s">
        <v>113</v>
      </c>
      <c r="K89" s="58">
        <v>45827</v>
      </c>
      <c r="L89" s="58" t="s">
        <v>1409</v>
      </c>
      <c r="M89" s="58" t="s">
        <v>31</v>
      </c>
      <c r="N89" s="58" t="s">
        <v>54</v>
      </c>
      <c r="O89" s="58" t="s">
        <v>31</v>
      </c>
      <c r="P89" s="6" t="s">
        <v>31</v>
      </c>
      <c r="Q89" s="6" t="s">
        <v>533</v>
      </c>
      <c r="R89" s="6" t="s">
        <v>1410</v>
      </c>
      <c r="S89" s="6" t="s">
        <v>1411</v>
      </c>
      <c r="T89" s="6" t="s">
        <v>1810</v>
      </c>
      <c r="U89" s="6" t="s">
        <v>31</v>
      </c>
      <c r="V89" s="6" t="s">
        <v>36</v>
      </c>
      <c r="W89" s="6">
        <v>34404</v>
      </c>
      <c r="X89" s="6" t="s">
        <v>1412</v>
      </c>
      <c r="Y89" s="14">
        <v>8730900484</v>
      </c>
      <c r="Z89" s="14" t="s">
        <v>1413</v>
      </c>
      <c r="AA89" s="14" t="s">
        <v>1414</v>
      </c>
      <c r="AB89" s="6" t="s">
        <v>40</v>
      </c>
      <c r="AC89" s="17" t="s">
        <v>31</v>
      </c>
      <c r="AD89" s="6" t="s">
        <v>1415</v>
      </c>
      <c r="AE89" s="68" t="s">
        <v>30</v>
      </c>
      <c r="AF89" s="6" t="s">
        <v>1416</v>
      </c>
      <c r="AG89" s="14" t="s">
        <v>31</v>
      </c>
      <c r="AH89" s="14" t="s">
        <v>1417</v>
      </c>
      <c r="AI89" s="14" t="s">
        <v>1418</v>
      </c>
      <c r="AK89" s="6" t="s">
        <v>1419</v>
      </c>
      <c r="AM89" s="6" t="s">
        <v>1420</v>
      </c>
      <c r="AN89" s="6" t="s">
        <v>1421</v>
      </c>
      <c r="AO89" s="6" t="s">
        <v>181</v>
      </c>
      <c r="AP89" s="6" t="s">
        <v>1422</v>
      </c>
      <c r="AQ89" s="69" t="s">
        <v>1423</v>
      </c>
    </row>
    <row r="90" spans="1:43" x14ac:dyDescent="0.35">
      <c r="A90" s="60">
        <f t="shared" si="4"/>
        <v>89</v>
      </c>
      <c r="B90" s="6" t="s">
        <v>23</v>
      </c>
      <c r="C90" s="26" t="s">
        <v>1424</v>
      </c>
      <c r="D90" s="6" t="s">
        <v>1425</v>
      </c>
      <c r="E90" s="6" t="s">
        <v>1426</v>
      </c>
      <c r="F90" s="6" t="s">
        <v>1427</v>
      </c>
      <c r="G90" s="6" t="s">
        <v>1428</v>
      </c>
      <c r="H90" s="6" t="s">
        <v>1429</v>
      </c>
      <c r="I90" s="6" t="s">
        <v>1430</v>
      </c>
      <c r="J90" s="6" t="s">
        <v>1430</v>
      </c>
      <c r="K90" s="58">
        <v>46023</v>
      </c>
      <c r="L90" s="58" t="s">
        <v>1431</v>
      </c>
      <c r="M90" s="58" t="s">
        <v>31</v>
      </c>
      <c r="N90" s="58" t="s">
        <v>54</v>
      </c>
      <c r="O90" s="58" t="s">
        <v>31</v>
      </c>
      <c r="P90" s="6" t="s">
        <v>31</v>
      </c>
      <c r="Q90" s="6" t="s">
        <v>533</v>
      </c>
      <c r="R90" s="6" t="s">
        <v>1432</v>
      </c>
      <c r="S90" s="6" t="s">
        <v>1433</v>
      </c>
      <c r="T90" s="6" t="s">
        <v>1811</v>
      </c>
      <c r="U90" s="6" t="s">
        <v>1434</v>
      </c>
      <c r="V90" s="6" t="s">
        <v>36</v>
      </c>
      <c r="W90" s="6">
        <v>36242</v>
      </c>
      <c r="X90" s="6" t="s">
        <v>1435</v>
      </c>
      <c r="Y90" s="14">
        <v>9999630283</v>
      </c>
      <c r="Z90" s="14" t="s">
        <v>1436</v>
      </c>
      <c r="AA90" s="14" t="s">
        <v>1437</v>
      </c>
      <c r="AB90" s="6" t="s">
        <v>40</v>
      </c>
      <c r="AC90" s="17" t="s">
        <v>31</v>
      </c>
      <c r="AD90" s="6" t="s">
        <v>1415</v>
      </c>
      <c r="AE90" s="68" t="s">
        <v>30</v>
      </c>
      <c r="AF90" s="6" t="s">
        <v>1438</v>
      </c>
      <c r="AG90" s="14" t="s">
        <v>31</v>
      </c>
      <c r="AH90" s="14" t="s">
        <v>1439</v>
      </c>
      <c r="AI90" s="14" t="s">
        <v>1440</v>
      </c>
      <c r="AK90" s="6" t="s">
        <v>31</v>
      </c>
      <c r="AL90" s="6" t="s">
        <v>31</v>
      </c>
      <c r="AM90" s="6" t="s">
        <v>31</v>
      </c>
      <c r="AN90" s="6" t="s">
        <v>31</v>
      </c>
      <c r="AO90" s="6" t="s">
        <v>31</v>
      </c>
      <c r="AP90" s="6" t="s">
        <v>1422</v>
      </c>
      <c r="AQ90" s="69" t="s">
        <v>1423</v>
      </c>
    </row>
    <row r="91" spans="1:43" x14ac:dyDescent="0.35">
      <c r="A91" s="60">
        <f t="shared" si="4"/>
        <v>90</v>
      </c>
      <c r="B91" s="21" t="s">
        <v>23</v>
      </c>
      <c r="C91" s="70"/>
      <c r="D91" s="53" t="s">
        <v>1441</v>
      </c>
      <c r="E91" s="53" t="s">
        <v>1052</v>
      </c>
      <c r="F91" s="53" t="s">
        <v>27</v>
      </c>
      <c r="G91" s="17" t="s">
        <v>1442</v>
      </c>
      <c r="H91" s="17" t="s">
        <v>29</v>
      </c>
      <c r="I91" s="17" t="s">
        <v>30</v>
      </c>
      <c r="J91" s="17" t="s">
        <v>30</v>
      </c>
      <c r="K91" s="71" t="s">
        <v>31</v>
      </c>
      <c r="L91" s="71" t="s">
        <v>31</v>
      </c>
      <c r="M91" s="21" t="s">
        <v>31</v>
      </c>
      <c r="N91" s="21" t="s">
        <v>31</v>
      </c>
      <c r="O91" s="21" t="s">
        <v>31</v>
      </c>
      <c r="P91" s="21" t="s">
        <v>32</v>
      </c>
      <c r="Q91" s="21" t="s">
        <v>31</v>
      </c>
      <c r="R91" s="21" t="s">
        <v>31</v>
      </c>
      <c r="S91" s="21" t="s">
        <v>35</v>
      </c>
      <c r="T91" s="21" t="s">
        <v>1812</v>
      </c>
      <c r="U91" s="21" t="s">
        <v>31</v>
      </c>
      <c r="V91" s="21" t="s">
        <v>335</v>
      </c>
      <c r="W91" s="72">
        <v>25122</v>
      </c>
      <c r="X91" s="72" t="str">
        <f ca="1">DATEDIF(W91, TODAY(), "Y") &amp; " Years "</f>
        <v xml:space="preserve">57 Years </v>
      </c>
      <c r="Y91" s="73" t="s">
        <v>1443</v>
      </c>
      <c r="Z91" s="74" t="s">
        <v>1444</v>
      </c>
      <c r="AA91" s="74" t="s">
        <v>1445</v>
      </c>
      <c r="AB91" s="74" t="s">
        <v>40</v>
      </c>
      <c r="AC91" s="21" t="s">
        <v>31</v>
      </c>
      <c r="AD91" s="74" t="s">
        <v>41</v>
      </c>
      <c r="AE91" s="13" t="s">
        <v>42</v>
      </c>
      <c r="AF91" s="74" t="s">
        <v>31</v>
      </c>
      <c r="AG91" s="21" t="s">
        <v>31</v>
      </c>
      <c r="AH91" s="21" t="s">
        <v>31</v>
      </c>
      <c r="AI91" s="21" t="s">
        <v>31</v>
      </c>
      <c r="AJ91" s="74" t="s">
        <v>31</v>
      </c>
      <c r="AK91" s="21" t="s">
        <v>1446</v>
      </c>
      <c r="AL91" s="21" t="s">
        <v>31</v>
      </c>
      <c r="AM91" s="74" t="s">
        <v>31</v>
      </c>
      <c r="AN91" s="74" t="s">
        <v>31</v>
      </c>
      <c r="AO91" s="21" t="s">
        <v>31</v>
      </c>
      <c r="AP91" s="21" t="s">
        <v>31</v>
      </c>
      <c r="AQ91" s="75" t="s">
        <v>1447</v>
      </c>
    </row>
    <row r="92" spans="1:43" x14ac:dyDescent="0.35">
      <c r="A92" s="60">
        <f t="shared" si="4"/>
        <v>91</v>
      </c>
      <c r="B92" s="21" t="s">
        <v>23</v>
      </c>
      <c r="C92" s="17" t="s">
        <v>1448</v>
      </c>
      <c r="D92" s="53" t="s">
        <v>1449</v>
      </c>
      <c r="E92" s="53" t="s">
        <v>1449</v>
      </c>
      <c r="F92" s="53"/>
      <c r="G92" s="17" t="s">
        <v>1450</v>
      </c>
      <c r="H92" s="17" t="s">
        <v>117</v>
      </c>
      <c r="I92" s="17" t="s">
        <v>52</v>
      </c>
      <c r="J92" s="20" t="s">
        <v>113</v>
      </c>
      <c r="K92" s="71">
        <v>43866</v>
      </c>
      <c r="L92" s="71" t="str">
        <f t="shared" ref="L92:L99" ca="1" si="7">IF(K92="","",DATEDIF(K92,TODAY(),"Y")&amp;" Years "&amp;DATEDIF(K92,TODAY(),"YM")&amp;" Months")</f>
        <v>6 Years 1 Months</v>
      </c>
      <c r="M92" s="21" t="s">
        <v>31</v>
      </c>
      <c r="N92" s="21" t="s">
        <v>54</v>
      </c>
      <c r="O92" s="21" t="s">
        <v>31</v>
      </c>
      <c r="P92" s="21" t="s">
        <v>32</v>
      </c>
      <c r="Q92" s="6" t="s">
        <v>668</v>
      </c>
      <c r="R92" s="74" t="s">
        <v>31</v>
      </c>
      <c r="S92" s="53" t="s">
        <v>1451</v>
      </c>
      <c r="T92" s="76" t="s">
        <v>31</v>
      </c>
      <c r="U92" s="77" t="s">
        <v>1452</v>
      </c>
      <c r="V92" s="21" t="s">
        <v>36</v>
      </c>
      <c r="W92" s="78">
        <v>37411</v>
      </c>
      <c r="X92" s="72" t="str">
        <f t="shared" ref="X92:X102" ca="1" si="8">DATEDIF(W92, TODAY(), "Y") &amp; " Years "</f>
        <v xml:space="preserve">23 Years </v>
      </c>
      <c r="Y92" s="17">
        <v>8131960322</v>
      </c>
      <c r="Z92" s="74"/>
      <c r="AA92" s="74"/>
      <c r="AB92" s="74" t="s">
        <v>40</v>
      </c>
      <c r="AC92" s="21" t="s">
        <v>31</v>
      </c>
      <c r="AD92" s="74" t="s">
        <v>123</v>
      </c>
      <c r="AE92" s="21" t="s">
        <v>31</v>
      </c>
      <c r="AF92" s="74" t="s">
        <v>688</v>
      </c>
      <c r="AG92" s="21" t="s">
        <v>31</v>
      </c>
      <c r="AH92" s="21" t="s">
        <v>31</v>
      </c>
      <c r="AI92" s="21" t="s">
        <v>31</v>
      </c>
      <c r="AJ92" s="79" t="s">
        <v>85</v>
      </c>
      <c r="AK92" s="21" t="s">
        <v>1453</v>
      </c>
      <c r="AL92" s="21" t="s">
        <v>1454</v>
      </c>
      <c r="AM92" s="80" t="s">
        <v>1455</v>
      </c>
      <c r="AN92" s="21" t="s">
        <v>1456</v>
      </c>
      <c r="AO92" s="79" t="s">
        <v>1457</v>
      </c>
      <c r="AP92" s="21" t="s">
        <v>31</v>
      </c>
      <c r="AQ92" s="75" t="s">
        <v>1447</v>
      </c>
    </row>
    <row r="93" spans="1:43" x14ac:dyDescent="0.35">
      <c r="A93" s="60">
        <f t="shared" si="4"/>
        <v>92</v>
      </c>
      <c r="B93" s="21" t="s">
        <v>23</v>
      </c>
      <c r="C93" s="17" t="s">
        <v>1458</v>
      </c>
      <c r="D93" s="53" t="s">
        <v>1459</v>
      </c>
      <c r="E93" s="53" t="s">
        <v>1460</v>
      </c>
      <c r="F93" s="53" t="s">
        <v>1461</v>
      </c>
      <c r="G93" s="17" t="s">
        <v>416</v>
      </c>
      <c r="H93" s="17" t="s">
        <v>149</v>
      </c>
      <c r="I93" s="17" t="s">
        <v>150</v>
      </c>
      <c r="J93" s="17" t="s">
        <v>151</v>
      </c>
      <c r="K93" s="71">
        <v>44564</v>
      </c>
      <c r="L93" s="71" t="str">
        <f t="shared" ca="1" si="7"/>
        <v>4 Years 2 Months</v>
      </c>
      <c r="M93" s="21" t="s">
        <v>31</v>
      </c>
      <c r="N93" s="21" t="s">
        <v>54</v>
      </c>
      <c r="O93" s="21" t="s">
        <v>31</v>
      </c>
      <c r="P93" s="21" t="s">
        <v>32</v>
      </c>
      <c r="Q93" s="6" t="s">
        <v>668</v>
      </c>
      <c r="R93" s="74" t="s">
        <v>1462</v>
      </c>
      <c r="S93" s="53" t="s">
        <v>153</v>
      </c>
      <c r="T93" s="74" t="s">
        <v>1813</v>
      </c>
      <c r="U93" s="77" t="s">
        <v>31</v>
      </c>
      <c r="V93" s="21" t="s">
        <v>36</v>
      </c>
      <c r="W93" s="78">
        <v>30005</v>
      </c>
      <c r="X93" s="72" t="str">
        <f t="shared" ca="1" si="8"/>
        <v xml:space="preserve">44 Years </v>
      </c>
      <c r="Y93" s="80" t="s">
        <v>1463</v>
      </c>
      <c r="Z93" s="74" t="s">
        <v>1464</v>
      </c>
      <c r="AA93" s="74" t="s">
        <v>1465</v>
      </c>
      <c r="AB93" s="74" t="s">
        <v>40</v>
      </c>
      <c r="AC93" s="21" t="s">
        <v>31</v>
      </c>
      <c r="AD93" s="74" t="s">
        <v>41</v>
      </c>
      <c r="AE93" s="21" t="s">
        <v>1466</v>
      </c>
      <c r="AF93" s="74" t="s">
        <v>1467</v>
      </c>
      <c r="AG93" s="21" t="s">
        <v>31</v>
      </c>
      <c r="AH93" s="21" t="s">
        <v>31</v>
      </c>
      <c r="AI93" s="21" t="s">
        <v>31</v>
      </c>
      <c r="AJ93" s="79" t="s">
        <v>63</v>
      </c>
      <c r="AK93" s="21" t="s">
        <v>1468</v>
      </c>
      <c r="AL93" s="21" t="s">
        <v>1469</v>
      </c>
      <c r="AM93" s="80" t="s">
        <v>1470</v>
      </c>
      <c r="AN93" s="21" t="s">
        <v>1471</v>
      </c>
      <c r="AO93" s="79" t="s">
        <v>586</v>
      </c>
      <c r="AP93" s="21" t="s">
        <v>31</v>
      </c>
      <c r="AQ93" s="75" t="s">
        <v>1447</v>
      </c>
    </row>
    <row r="94" spans="1:43" x14ac:dyDescent="0.35">
      <c r="A94" s="60">
        <f t="shared" si="4"/>
        <v>93</v>
      </c>
      <c r="B94" s="21" t="s">
        <v>23</v>
      </c>
      <c r="C94" s="17" t="s">
        <v>1472</v>
      </c>
      <c r="D94" s="53" t="s">
        <v>1473</v>
      </c>
      <c r="E94" s="53" t="s">
        <v>1474</v>
      </c>
      <c r="F94" s="53" t="s">
        <v>1475</v>
      </c>
      <c r="G94" s="81" t="s">
        <v>1476</v>
      </c>
      <c r="H94" s="81" t="s">
        <v>117</v>
      </c>
      <c r="I94" s="17" t="s">
        <v>52</v>
      </c>
      <c r="J94" s="17" t="s">
        <v>298</v>
      </c>
      <c r="K94" s="71">
        <v>45089</v>
      </c>
      <c r="L94" s="71" t="str">
        <f t="shared" ca="1" si="7"/>
        <v>2 Years 9 Months</v>
      </c>
      <c r="M94" s="21" t="s">
        <v>31</v>
      </c>
      <c r="N94" s="21" t="s">
        <v>54</v>
      </c>
      <c r="O94" s="21" t="s">
        <v>31</v>
      </c>
      <c r="P94" s="21" t="s">
        <v>32</v>
      </c>
      <c r="Q94" s="6" t="s">
        <v>533</v>
      </c>
      <c r="R94" s="53" t="s">
        <v>1477</v>
      </c>
      <c r="S94" s="53" t="s">
        <v>300</v>
      </c>
      <c r="T94" s="76" t="s">
        <v>1814</v>
      </c>
      <c r="U94" s="77" t="s">
        <v>1478</v>
      </c>
      <c r="V94" s="21" t="s">
        <v>36</v>
      </c>
      <c r="W94" s="78">
        <v>36070</v>
      </c>
      <c r="X94" s="72" t="str">
        <f t="shared" ca="1" si="8"/>
        <v xml:space="preserve">27 Years </v>
      </c>
      <c r="Y94" s="80" t="s">
        <v>1479</v>
      </c>
      <c r="Z94" s="82" t="s">
        <v>1480</v>
      </c>
      <c r="AA94" s="83" t="s">
        <v>1481</v>
      </c>
      <c r="AB94" s="74" t="s">
        <v>40</v>
      </c>
      <c r="AC94" s="21" t="s">
        <v>31</v>
      </c>
      <c r="AD94" s="74" t="s">
        <v>123</v>
      </c>
      <c r="AE94" s="21" t="s">
        <v>31</v>
      </c>
      <c r="AF94" s="79" t="s">
        <v>59</v>
      </c>
      <c r="AG94" s="21" t="s">
        <v>31</v>
      </c>
      <c r="AH94" s="21" t="s">
        <v>31</v>
      </c>
      <c r="AI94" s="21" t="s">
        <v>31</v>
      </c>
      <c r="AJ94" s="79" t="s">
        <v>63</v>
      </c>
      <c r="AK94" s="21" t="s">
        <v>1482</v>
      </c>
      <c r="AL94" s="21" t="s">
        <v>1483</v>
      </c>
      <c r="AM94" s="80" t="s">
        <v>1484</v>
      </c>
      <c r="AN94" s="21" t="s">
        <v>1485</v>
      </c>
      <c r="AO94" s="79" t="s">
        <v>312</v>
      </c>
      <c r="AP94" s="21" t="s">
        <v>31</v>
      </c>
      <c r="AQ94" s="75" t="s">
        <v>1447</v>
      </c>
    </row>
    <row r="95" spans="1:43" x14ac:dyDescent="0.35">
      <c r="A95" s="60">
        <f t="shared" si="4"/>
        <v>94</v>
      </c>
      <c r="B95" s="21" t="s">
        <v>23</v>
      </c>
      <c r="C95" s="17" t="s">
        <v>1486</v>
      </c>
      <c r="D95" s="53" t="s">
        <v>1332</v>
      </c>
      <c r="E95" s="53" t="s">
        <v>1332</v>
      </c>
      <c r="F95" s="53"/>
      <c r="G95" s="81" t="s">
        <v>1487</v>
      </c>
      <c r="H95" s="81" t="s">
        <v>401</v>
      </c>
      <c r="I95" s="17" t="s">
        <v>52</v>
      </c>
      <c r="J95" s="17" t="s">
        <v>53</v>
      </c>
      <c r="K95" s="71">
        <v>45342</v>
      </c>
      <c r="L95" s="71" t="str">
        <f t="shared" ca="1" si="7"/>
        <v>2 Years 1 Months</v>
      </c>
      <c r="M95" s="21" t="s">
        <v>31</v>
      </c>
      <c r="N95" s="21" t="s">
        <v>54</v>
      </c>
      <c r="O95" s="21" t="s">
        <v>31</v>
      </c>
      <c r="P95" s="21" t="s">
        <v>32</v>
      </c>
      <c r="Q95" s="6" t="s">
        <v>31</v>
      </c>
      <c r="R95" s="53" t="s">
        <v>1488</v>
      </c>
      <c r="S95" s="53" t="s">
        <v>35</v>
      </c>
      <c r="T95" s="76" t="s">
        <v>1815</v>
      </c>
      <c r="U95" s="77" t="s">
        <v>1489</v>
      </c>
      <c r="V95" s="21" t="s">
        <v>36</v>
      </c>
      <c r="W95" s="78">
        <v>29739</v>
      </c>
      <c r="X95" s="72" t="str">
        <f t="shared" ca="1" si="8"/>
        <v xml:space="preserve">44 Years </v>
      </c>
      <c r="Y95" s="84" t="s">
        <v>1340</v>
      </c>
      <c r="Z95" s="85" t="s">
        <v>1490</v>
      </c>
      <c r="AA95" s="86" t="s">
        <v>1491</v>
      </c>
      <c r="AB95" s="74" t="s">
        <v>40</v>
      </c>
      <c r="AC95" s="21" t="s">
        <v>31</v>
      </c>
      <c r="AD95" s="74" t="s">
        <v>41</v>
      </c>
      <c r="AE95" s="21" t="s">
        <v>1466</v>
      </c>
      <c r="AF95" s="79" t="s">
        <v>138</v>
      </c>
      <c r="AG95" s="21" t="s">
        <v>31</v>
      </c>
      <c r="AH95" s="21" t="s">
        <v>31</v>
      </c>
      <c r="AI95" s="21" t="s">
        <v>31</v>
      </c>
      <c r="AJ95" s="74" t="s">
        <v>1492</v>
      </c>
      <c r="AK95" s="21" t="s">
        <v>1493</v>
      </c>
      <c r="AL95" s="21" t="s">
        <v>1494</v>
      </c>
      <c r="AM95" s="84" t="s">
        <v>1495</v>
      </c>
      <c r="AN95" s="21" t="s">
        <v>1496</v>
      </c>
      <c r="AO95" s="79" t="s">
        <v>586</v>
      </c>
      <c r="AP95" s="21" t="s">
        <v>31</v>
      </c>
      <c r="AQ95" s="75" t="s">
        <v>1447</v>
      </c>
    </row>
    <row r="96" spans="1:43" x14ac:dyDescent="0.35">
      <c r="A96" s="60">
        <f t="shared" si="4"/>
        <v>95</v>
      </c>
      <c r="B96" s="21" t="s">
        <v>23</v>
      </c>
      <c r="C96" s="17" t="s">
        <v>1497</v>
      </c>
      <c r="D96" s="53" t="s">
        <v>1498</v>
      </c>
      <c r="E96" s="53" t="s">
        <v>1499</v>
      </c>
      <c r="F96" s="53" t="s">
        <v>1500</v>
      </c>
      <c r="G96" s="17" t="s">
        <v>1501</v>
      </c>
      <c r="H96" s="17" t="s">
        <v>117</v>
      </c>
      <c r="I96" s="17" t="s">
        <v>52</v>
      </c>
      <c r="J96" s="17" t="s">
        <v>417</v>
      </c>
      <c r="K96" s="71">
        <v>45352</v>
      </c>
      <c r="L96" s="71" t="str">
        <f t="shared" ca="1" si="7"/>
        <v>2 Years 0 Months</v>
      </c>
      <c r="M96" s="21" t="s">
        <v>31</v>
      </c>
      <c r="N96" s="21" t="s">
        <v>54</v>
      </c>
      <c r="O96" s="21" t="s">
        <v>31</v>
      </c>
      <c r="P96" s="21" t="s">
        <v>32</v>
      </c>
      <c r="Q96" s="6" t="s">
        <v>31</v>
      </c>
      <c r="R96" s="53" t="s">
        <v>1502</v>
      </c>
      <c r="S96" s="53" t="s">
        <v>577</v>
      </c>
      <c r="T96" s="76" t="s">
        <v>1816</v>
      </c>
      <c r="U96" s="77" t="s">
        <v>1503</v>
      </c>
      <c r="V96" s="21" t="s">
        <v>36</v>
      </c>
      <c r="W96" s="78">
        <v>37046</v>
      </c>
      <c r="X96" s="72" t="str">
        <f t="shared" ca="1" si="8"/>
        <v xml:space="preserve">24 Years </v>
      </c>
      <c r="Y96" s="80" t="s">
        <v>1504</v>
      </c>
      <c r="Z96" s="85" t="s">
        <v>1505</v>
      </c>
      <c r="AA96" s="86" t="s">
        <v>1506</v>
      </c>
      <c r="AB96" s="74" t="s">
        <v>40</v>
      </c>
      <c r="AC96" s="21" t="s">
        <v>31</v>
      </c>
      <c r="AD96" s="74" t="s">
        <v>41</v>
      </c>
      <c r="AE96" s="21" t="s">
        <v>1466</v>
      </c>
      <c r="AF96" s="74" t="s">
        <v>354</v>
      </c>
      <c r="AG96" s="21" t="s">
        <v>31</v>
      </c>
      <c r="AH96" s="21" t="s">
        <v>31</v>
      </c>
      <c r="AI96" s="21" t="s">
        <v>31</v>
      </c>
      <c r="AJ96" s="74" t="s">
        <v>63</v>
      </c>
      <c r="AK96" s="21" t="s">
        <v>1507</v>
      </c>
      <c r="AL96" s="21" t="s">
        <v>1508</v>
      </c>
      <c r="AM96" s="84" t="s">
        <v>1509</v>
      </c>
      <c r="AN96" s="21" t="s">
        <v>1502</v>
      </c>
      <c r="AO96" s="74" t="s">
        <v>181</v>
      </c>
      <c r="AP96" s="21" t="s">
        <v>31</v>
      </c>
      <c r="AQ96" s="75" t="s">
        <v>1447</v>
      </c>
    </row>
    <row r="97" spans="1:43" x14ac:dyDescent="0.35">
      <c r="A97" s="60">
        <f t="shared" si="4"/>
        <v>96</v>
      </c>
      <c r="B97" s="21" t="s">
        <v>23</v>
      </c>
      <c r="C97" s="17" t="s">
        <v>1510</v>
      </c>
      <c r="D97" s="53" t="s">
        <v>1511</v>
      </c>
      <c r="E97" s="53" t="s">
        <v>1512</v>
      </c>
      <c r="F97" s="53" t="s">
        <v>1513</v>
      </c>
      <c r="G97" s="17" t="s">
        <v>1514</v>
      </c>
      <c r="H97" s="17" t="s">
        <v>117</v>
      </c>
      <c r="I97" s="17" t="s">
        <v>52</v>
      </c>
      <c r="J97" s="17" t="s">
        <v>417</v>
      </c>
      <c r="K97" s="71">
        <v>45568</v>
      </c>
      <c r="L97" s="71" t="str">
        <f t="shared" ca="1" si="7"/>
        <v>1 Years 5 Months</v>
      </c>
      <c r="M97" s="21" t="s">
        <v>31</v>
      </c>
      <c r="N97" s="21" t="s">
        <v>54</v>
      </c>
      <c r="O97" s="21" t="s">
        <v>31</v>
      </c>
      <c r="P97" s="21" t="s">
        <v>32</v>
      </c>
      <c r="Q97" s="6" t="s">
        <v>668</v>
      </c>
      <c r="R97" s="53" t="s">
        <v>1515</v>
      </c>
      <c r="S97" s="53" t="s">
        <v>419</v>
      </c>
      <c r="T97" s="76" t="s">
        <v>31</v>
      </c>
      <c r="U97" s="77" t="s">
        <v>1516</v>
      </c>
      <c r="V97" s="21" t="s">
        <v>36</v>
      </c>
      <c r="W97" s="78">
        <v>32741</v>
      </c>
      <c r="X97" s="72" t="str">
        <f t="shared" ca="1" si="8"/>
        <v xml:space="preserve">36 Years </v>
      </c>
      <c r="Y97" s="84" t="s">
        <v>1517</v>
      </c>
      <c r="Z97" s="85" t="s">
        <v>1518</v>
      </c>
      <c r="AA97" s="86" t="s">
        <v>1519</v>
      </c>
      <c r="AB97" s="74" t="s">
        <v>40</v>
      </c>
      <c r="AC97" s="21" t="s">
        <v>31</v>
      </c>
      <c r="AD97" s="74" t="s">
        <v>41</v>
      </c>
      <c r="AE97" s="21" t="s">
        <v>1466</v>
      </c>
      <c r="AF97" s="74" t="s">
        <v>138</v>
      </c>
      <c r="AG97" s="21" t="s">
        <v>31</v>
      </c>
      <c r="AH97" s="87">
        <v>30356482939</v>
      </c>
      <c r="AI97" s="87" t="s">
        <v>1520</v>
      </c>
      <c r="AJ97" s="84" t="s">
        <v>85</v>
      </c>
      <c r="AK97" s="21" t="s">
        <v>1521</v>
      </c>
      <c r="AL97" s="21" t="s">
        <v>1522</v>
      </c>
      <c r="AM97" s="84" t="s">
        <v>1523</v>
      </c>
      <c r="AN97" s="21" t="s">
        <v>1524</v>
      </c>
      <c r="AO97" s="79" t="s">
        <v>586</v>
      </c>
      <c r="AP97" s="21" t="s">
        <v>31</v>
      </c>
      <c r="AQ97" s="75" t="s">
        <v>1447</v>
      </c>
    </row>
    <row r="98" spans="1:43" x14ac:dyDescent="0.35">
      <c r="A98" s="60">
        <f t="shared" si="4"/>
        <v>97</v>
      </c>
      <c r="B98" s="21" t="s">
        <v>23</v>
      </c>
      <c r="C98" s="17" t="s">
        <v>1525</v>
      </c>
      <c r="D98" s="53" t="s">
        <v>1526</v>
      </c>
      <c r="E98" s="53" t="s">
        <v>1527</v>
      </c>
      <c r="F98" s="53" t="s">
        <v>1528</v>
      </c>
      <c r="G98" s="17" t="s">
        <v>1442</v>
      </c>
      <c r="H98" s="17" t="s">
        <v>1529</v>
      </c>
      <c r="I98" s="17" t="s">
        <v>52</v>
      </c>
      <c r="J98" s="17" t="s">
        <v>53</v>
      </c>
      <c r="K98" s="71">
        <v>45658</v>
      </c>
      <c r="L98" s="71" t="str">
        <f t="shared" ca="1" si="7"/>
        <v>1 Years 2 Months</v>
      </c>
      <c r="M98" s="71">
        <v>43361</v>
      </c>
      <c r="N98" s="21" t="s">
        <v>54</v>
      </c>
      <c r="O98" s="21" t="s">
        <v>31</v>
      </c>
      <c r="P98" s="21" t="s">
        <v>32</v>
      </c>
      <c r="Q98" s="6" t="s">
        <v>668</v>
      </c>
      <c r="R98" s="74" t="s">
        <v>1530</v>
      </c>
      <c r="S98" s="53" t="s">
        <v>1531</v>
      </c>
      <c r="T98" s="76" t="s">
        <v>1817</v>
      </c>
      <c r="U98" s="77" t="s">
        <v>1532</v>
      </c>
      <c r="V98" s="21" t="s">
        <v>335</v>
      </c>
      <c r="W98" s="78">
        <v>30886</v>
      </c>
      <c r="X98" s="72" t="str">
        <f t="shared" ca="1" si="8"/>
        <v xml:space="preserve">41 Years </v>
      </c>
      <c r="Y98" s="80" t="s">
        <v>1533</v>
      </c>
      <c r="Z98" s="85" t="s">
        <v>1534</v>
      </c>
      <c r="AA98" s="74" t="s">
        <v>1535</v>
      </c>
      <c r="AB98" s="74" t="s">
        <v>40</v>
      </c>
      <c r="AC98" s="21" t="s">
        <v>31</v>
      </c>
      <c r="AD98" s="74" t="s">
        <v>1536</v>
      </c>
      <c r="AE98" s="21" t="s">
        <v>31</v>
      </c>
      <c r="AF98" s="74" t="s">
        <v>1537</v>
      </c>
      <c r="AG98" s="21" t="s">
        <v>31</v>
      </c>
      <c r="AH98" s="21" t="s">
        <v>31</v>
      </c>
      <c r="AI98" s="21" t="s">
        <v>31</v>
      </c>
      <c r="AJ98" s="74" t="s">
        <v>106</v>
      </c>
      <c r="AK98" s="21" t="s">
        <v>1538</v>
      </c>
      <c r="AL98" s="21" t="s">
        <v>1539</v>
      </c>
      <c r="AM98" s="84" t="s">
        <v>1540</v>
      </c>
      <c r="AN98" s="74" t="s">
        <v>1530</v>
      </c>
      <c r="AO98" s="74" t="s">
        <v>181</v>
      </c>
      <c r="AP98" s="21" t="s">
        <v>31</v>
      </c>
      <c r="AQ98" s="75" t="s">
        <v>1447</v>
      </c>
    </row>
    <row r="99" spans="1:43" x14ac:dyDescent="0.35">
      <c r="A99" s="60">
        <f t="shared" si="4"/>
        <v>98</v>
      </c>
      <c r="B99" s="21" t="s">
        <v>23</v>
      </c>
      <c r="C99" s="17" t="s">
        <v>1541</v>
      </c>
      <c r="D99" s="53" t="s">
        <v>1542</v>
      </c>
      <c r="E99" s="53" t="s">
        <v>1543</v>
      </c>
      <c r="F99" s="53" t="s">
        <v>72</v>
      </c>
      <c r="G99" s="17" t="s">
        <v>1544</v>
      </c>
      <c r="H99" s="17" t="s">
        <v>117</v>
      </c>
      <c r="I99" s="17" t="s">
        <v>52</v>
      </c>
      <c r="J99" s="17" t="s">
        <v>53</v>
      </c>
      <c r="K99" s="71">
        <v>45658</v>
      </c>
      <c r="L99" s="71" t="str">
        <f t="shared" ca="1" si="7"/>
        <v>1 Years 2 Months</v>
      </c>
      <c r="M99" s="71">
        <v>45033</v>
      </c>
      <c r="N99" s="21" t="s">
        <v>54</v>
      </c>
      <c r="O99" s="21" t="s">
        <v>31</v>
      </c>
      <c r="P99" s="21" t="s">
        <v>32</v>
      </c>
      <c r="Q99" s="6" t="s">
        <v>668</v>
      </c>
      <c r="R99" s="79" t="s">
        <v>1545</v>
      </c>
      <c r="S99" s="53" t="s">
        <v>35</v>
      </c>
      <c r="T99" s="76" t="s">
        <v>1818</v>
      </c>
      <c r="U99" s="77" t="s">
        <v>1546</v>
      </c>
      <c r="V99" s="21" t="s">
        <v>36</v>
      </c>
      <c r="W99" s="78">
        <v>34578</v>
      </c>
      <c r="X99" s="72" t="str">
        <f t="shared" ca="1" si="8"/>
        <v xml:space="preserve">31 Years </v>
      </c>
      <c r="Y99" s="73" t="s">
        <v>1547</v>
      </c>
      <c r="Z99" s="74" t="s">
        <v>1548</v>
      </c>
      <c r="AA99" s="74" t="s">
        <v>1549</v>
      </c>
      <c r="AB99" s="74" t="s">
        <v>40</v>
      </c>
      <c r="AC99" s="21" t="s">
        <v>31</v>
      </c>
      <c r="AD99" s="74" t="s">
        <v>41</v>
      </c>
      <c r="AE99" s="36">
        <v>45363</v>
      </c>
      <c r="AF99" s="79" t="s">
        <v>59</v>
      </c>
      <c r="AG99" s="21" t="s">
        <v>31</v>
      </c>
      <c r="AH99" s="21" t="s">
        <v>31</v>
      </c>
      <c r="AI99" s="21" t="s">
        <v>31</v>
      </c>
      <c r="AJ99" s="79" t="s">
        <v>63</v>
      </c>
      <c r="AK99" s="21" t="s">
        <v>1550</v>
      </c>
      <c r="AL99" s="21" t="s">
        <v>1551</v>
      </c>
      <c r="AM99" s="80" t="s">
        <v>1552</v>
      </c>
      <c r="AN99" s="74" t="s">
        <v>1553</v>
      </c>
      <c r="AO99" s="79" t="s">
        <v>181</v>
      </c>
      <c r="AP99" s="21" t="s">
        <v>31</v>
      </c>
      <c r="AQ99" s="75" t="s">
        <v>1447</v>
      </c>
    </row>
    <row r="100" spans="1:43" x14ac:dyDescent="0.35">
      <c r="A100" s="60">
        <f t="shared" si="4"/>
        <v>99</v>
      </c>
      <c r="B100" s="21" t="s">
        <v>23</v>
      </c>
      <c r="C100" s="88" t="s">
        <v>1554</v>
      </c>
      <c r="D100" s="88" t="s">
        <v>1555</v>
      </c>
      <c r="E100" s="53" t="s">
        <v>1556</v>
      </c>
      <c r="F100" s="53" t="s">
        <v>72</v>
      </c>
      <c r="G100" s="21" t="s">
        <v>1557</v>
      </c>
      <c r="H100" s="21" t="s">
        <v>31</v>
      </c>
      <c r="I100" s="21" t="s">
        <v>1558</v>
      </c>
      <c r="J100" s="21" t="s">
        <v>1558</v>
      </c>
      <c r="K100" s="89">
        <v>45962</v>
      </c>
      <c r="L100" s="21" t="str">
        <f ca="1">IF(K100="","",DATEDIF(K100,TODAY(),"Y")&amp;" Years "&amp;DATEDIF(K100,TODAY(),"YM")&amp;" Months")</f>
        <v>0 Years 4 Months</v>
      </c>
      <c r="M100" s="21"/>
      <c r="N100" s="21"/>
      <c r="O100" s="21"/>
      <c r="P100" s="21"/>
      <c r="Q100" s="21" t="s">
        <v>533</v>
      </c>
      <c r="R100" s="21" t="s">
        <v>1559</v>
      </c>
      <c r="S100" s="21" t="s">
        <v>1560</v>
      </c>
      <c r="T100" s="21" t="s">
        <v>1819</v>
      </c>
      <c r="U100" s="21" t="s">
        <v>1561</v>
      </c>
      <c r="V100" s="21" t="s">
        <v>36</v>
      </c>
      <c r="W100" s="78">
        <v>37068</v>
      </c>
      <c r="X100" s="72" t="str">
        <f t="shared" ca="1" si="8"/>
        <v xml:space="preserve">24 Years </v>
      </c>
      <c r="Y100" s="21">
        <v>8077091194</v>
      </c>
      <c r="Z100" s="21" t="s">
        <v>1562</v>
      </c>
      <c r="AA100" s="21" t="s">
        <v>1563</v>
      </c>
      <c r="AB100" s="21" t="s">
        <v>40</v>
      </c>
      <c r="AC100" s="21" t="s">
        <v>31</v>
      </c>
      <c r="AD100" s="21" t="s">
        <v>123</v>
      </c>
      <c r="AE100" s="21" t="s">
        <v>31</v>
      </c>
      <c r="AF100" s="21" t="s">
        <v>59</v>
      </c>
      <c r="AG100" s="21" t="s">
        <v>158</v>
      </c>
      <c r="AH100" s="14" t="s">
        <v>1564</v>
      </c>
      <c r="AI100" s="21" t="s">
        <v>1565</v>
      </c>
      <c r="AJ100" s="21" t="s">
        <v>63</v>
      </c>
      <c r="AK100" s="21" t="s">
        <v>1566</v>
      </c>
      <c r="AL100" s="21" t="s">
        <v>1567</v>
      </c>
      <c r="AM100" s="21">
        <v>7017239354</v>
      </c>
      <c r="AN100" s="21" t="s">
        <v>31</v>
      </c>
      <c r="AO100" s="21" t="s">
        <v>181</v>
      </c>
      <c r="AP100" s="21" t="s">
        <v>1568</v>
      </c>
      <c r="AQ100" s="75" t="s">
        <v>1447</v>
      </c>
    </row>
    <row r="101" spans="1:43" x14ac:dyDescent="0.35">
      <c r="A101" s="60">
        <f t="shared" si="4"/>
        <v>100</v>
      </c>
      <c r="B101" s="21" t="s">
        <v>23</v>
      </c>
      <c r="C101" s="88" t="s">
        <v>1569</v>
      </c>
      <c r="D101" s="88" t="s">
        <v>1570</v>
      </c>
      <c r="E101" s="53" t="s">
        <v>1115</v>
      </c>
      <c r="F101" s="53" t="s">
        <v>1571</v>
      </c>
      <c r="G101" s="21" t="s">
        <v>1572</v>
      </c>
      <c r="H101" s="21" t="s">
        <v>31</v>
      </c>
      <c r="I101" s="21" t="s">
        <v>1558</v>
      </c>
      <c r="J101" s="21" t="s">
        <v>1558</v>
      </c>
      <c r="K101" s="89">
        <v>45962</v>
      </c>
      <c r="L101" s="21" t="str">
        <f t="shared" ref="L101:L102" ca="1" si="9">IF(K101="","",DATEDIF(K101,TODAY(),"Y")&amp;" Years "&amp;DATEDIF(K101,TODAY(),"YM")&amp;" Months")</f>
        <v>0 Years 4 Months</v>
      </c>
      <c r="M101" s="21"/>
      <c r="N101" s="21"/>
      <c r="O101" s="21"/>
      <c r="P101" s="21"/>
      <c r="Q101" s="21" t="s">
        <v>609</v>
      </c>
      <c r="R101" s="21" t="s">
        <v>1573</v>
      </c>
      <c r="S101" s="21" t="s">
        <v>1560</v>
      </c>
      <c r="T101" s="21" t="s">
        <v>1820</v>
      </c>
      <c r="U101" s="21" t="s">
        <v>1574</v>
      </c>
      <c r="V101" s="21" t="s">
        <v>36</v>
      </c>
      <c r="W101" s="78">
        <v>37412</v>
      </c>
      <c r="X101" s="72" t="str">
        <f t="shared" ca="1" si="8"/>
        <v xml:space="preserve">23 Years </v>
      </c>
      <c r="Y101" s="21">
        <v>9718050306</v>
      </c>
      <c r="Z101" s="21" t="s">
        <v>1575</v>
      </c>
      <c r="AA101" s="21" t="s">
        <v>1576</v>
      </c>
      <c r="AB101" s="21" t="s">
        <v>40</v>
      </c>
      <c r="AC101" s="21" t="s">
        <v>31</v>
      </c>
      <c r="AD101" s="21" t="s">
        <v>123</v>
      </c>
      <c r="AE101" s="21" t="s">
        <v>31</v>
      </c>
      <c r="AF101" s="21" t="s">
        <v>59</v>
      </c>
      <c r="AG101" s="21" t="s">
        <v>1152</v>
      </c>
      <c r="AH101" s="14" t="s">
        <v>1577</v>
      </c>
      <c r="AI101" s="21" t="s">
        <v>1578</v>
      </c>
      <c r="AJ101" s="21" t="s">
        <v>63</v>
      </c>
      <c r="AK101" s="21" t="s">
        <v>1579</v>
      </c>
      <c r="AL101" s="21" t="s">
        <v>1579</v>
      </c>
      <c r="AM101" s="21">
        <v>8920033407</v>
      </c>
      <c r="AN101" s="21" t="s">
        <v>31</v>
      </c>
      <c r="AO101" s="21" t="s">
        <v>68</v>
      </c>
      <c r="AP101" s="21" t="s">
        <v>1568</v>
      </c>
      <c r="AQ101" s="75" t="s">
        <v>1447</v>
      </c>
    </row>
    <row r="102" spans="1:43" x14ac:dyDescent="0.35">
      <c r="A102" s="60">
        <f t="shared" si="4"/>
        <v>101</v>
      </c>
      <c r="B102" s="21" t="s">
        <v>23</v>
      </c>
      <c r="C102" s="88" t="s">
        <v>1580</v>
      </c>
      <c r="D102" s="88" t="s">
        <v>1581</v>
      </c>
      <c r="E102" s="53" t="s">
        <v>1582</v>
      </c>
      <c r="F102" s="53" t="s">
        <v>1583</v>
      </c>
      <c r="G102" s="21" t="s">
        <v>1584</v>
      </c>
      <c r="H102" s="21" t="s">
        <v>31</v>
      </c>
      <c r="I102" s="21" t="s">
        <v>1558</v>
      </c>
      <c r="J102" s="21" t="s">
        <v>1558</v>
      </c>
      <c r="K102" s="89">
        <v>45962</v>
      </c>
      <c r="L102" s="21" t="str">
        <f t="shared" ca="1" si="9"/>
        <v>0 Years 4 Months</v>
      </c>
      <c r="M102" s="21"/>
      <c r="N102" s="21"/>
      <c r="O102" s="21"/>
      <c r="P102" s="74"/>
      <c r="Q102" s="21" t="s">
        <v>533</v>
      </c>
      <c r="R102" s="74" t="s">
        <v>1585</v>
      </c>
      <c r="S102" s="21" t="s">
        <v>1560</v>
      </c>
      <c r="T102" s="21" t="s">
        <v>1821</v>
      </c>
      <c r="U102" s="21" t="s">
        <v>1586</v>
      </c>
      <c r="V102" s="21" t="s">
        <v>36</v>
      </c>
      <c r="W102" s="78">
        <v>31207</v>
      </c>
      <c r="X102" s="72" t="str">
        <f t="shared" ca="1" si="8"/>
        <v xml:space="preserve">40 Years </v>
      </c>
      <c r="Y102" s="21">
        <v>8376050895</v>
      </c>
      <c r="Z102" s="21" t="s">
        <v>1587</v>
      </c>
      <c r="AA102" s="21" t="s">
        <v>1588</v>
      </c>
      <c r="AB102" s="21" t="s">
        <v>40</v>
      </c>
      <c r="AC102" s="21" t="s">
        <v>31</v>
      </c>
      <c r="AD102" s="21" t="s">
        <v>41</v>
      </c>
      <c r="AE102" s="21" t="s">
        <v>31</v>
      </c>
      <c r="AF102" s="21" t="s">
        <v>354</v>
      </c>
      <c r="AG102" s="21" t="s">
        <v>158</v>
      </c>
      <c r="AH102" s="14" t="s">
        <v>1589</v>
      </c>
      <c r="AI102" s="21" t="s">
        <v>1590</v>
      </c>
      <c r="AJ102" s="21" t="s">
        <v>85</v>
      </c>
      <c r="AK102" s="21" t="s">
        <v>1591</v>
      </c>
      <c r="AL102" s="21" t="s">
        <v>1591</v>
      </c>
      <c r="AM102" s="21" t="s">
        <v>1592</v>
      </c>
      <c r="AN102" s="21" t="s">
        <v>31</v>
      </c>
      <c r="AO102" s="21" t="s">
        <v>181</v>
      </c>
      <c r="AP102" s="21" t="s">
        <v>1568</v>
      </c>
      <c r="AQ102" s="75" t="s">
        <v>1447</v>
      </c>
    </row>
    <row r="103" spans="1:43" x14ac:dyDescent="0.35">
      <c r="A103" s="60">
        <f t="shared" si="4"/>
        <v>102</v>
      </c>
      <c r="B103" s="53" t="s">
        <v>23</v>
      </c>
      <c r="C103" s="53" t="s">
        <v>1593</v>
      </c>
      <c r="D103" s="53" t="s">
        <v>75</v>
      </c>
      <c r="E103" s="53" t="s">
        <v>1594</v>
      </c>
      <c r="F103" s="53" t="s">
        <v>1595</v>
      </c>
      <c r="G103" s="53" t="s">
        <v>1596</v>
      </c>
      <c r="H103" s="53" t="s">
        <v>1597</v>
      </c>
      <c r="I103" s="53" t="s">
        <v>25</v>
      </c>
      <c r="J103" s="53" t="s">
        <v>25</v>
      </c>
      <c r="K103" s="90">
        <v>43019</v>
      </c>
      <c r="L103" s="21" t="str">
        <f ca="1">IF(K103="","",DATEDIF(K103,TODAY(),"Y")&amp;" Years "&amp;DATEDIF(K103,TODAY(),"YM")&amp;" Months")</f>
        <v>8 Years 5 Months</v>
      </c>
      <c r="M103" s="21"/>
      <c r="N103" s="74" t="s">
        <v>54</v>
      </c>
      <c r="O103" s="74"/>
      <c r="P103" s="21" t="s">
        <v>1402</v>
      </c>
      <c r="Q103" s="53" t="s">
        <v>668</v>
      </c>
      <c r="R103" s="53" t="s">
        <v>1598</v>
      </c>
      <c r="S103" s="53" t="s">
        <v>35</v>
      </c>
      <c r="T103" s="91" t="s">
        <v>1822</v>
      </c>
      <c r="U103" s="74" t="s">
        <v>1599</v>
      </c>
      <c r="V103" s="74" t="s">
        <v>36</v>
      </c>
      <c r="W103" s="90">
        <v>28028</v>
      </c>
      <c r="X103" s="90" t="str">
        <f ca="1">DATEDIF(W103, TODAY(), "Y") &amp; " Years "</f>
        <v xml:space="preserve">49 Years </v>
      </c>
      <c r="Y103" s="92">
        <v>9999725666</v>
      </c>
      <c r="Z103" s="74" t="s">
        <v>1600</v>
      </c>
      <c r="AA103" s="92" t="s">
        <v>1601</v>
      </c>
      <c r="AB103" s="92" t="s">
        <v>40</v>
      </c>
      <c r="AC103" s="92" t="s">
        <v>31</v>
      </c>
      <c r="AD103" s="84" t="s">
        <v>41</v>
      </c>
      <c r="AE103" s="74"/>
      <c r="AF103" s="74" t="s">
        <v>59</v>
      </c>
      <c r="AG103" s="21" t="s">
        <v>31</v>
      </c>
      <c r="AH103" s="21" t="s">
        <v>31</v>
      </c>
      <c r="AI103" s="21" t="s">
        <v>31</v>
      </c>
      <c r="AJ103" s="74" t="s">
        <v>63</v>
      </c>
      <c r="AK103" s="93" t="s">
        <v>1602</v>
      </c>
      <c r="AL103" s="93" t="s">
        <v>1603</v>
      </c>
      <c r="AM103" s="94" t="s">
        <v>1604</v>
      </c>
      <c r="AN103" s="21" t="s">
        <v>1605</v>
      </c>
      <c r="AO103" s="92" t="s">
        <v>586</v>
      </c>
      <c r="AP103" s="21" t="s">
        <v>31</v>
      </c>
      <c r="AQ103" s="75" t="s">
        <v>1402</v>
      </c>
    </row>
    <row r="104" spans="1:43" x14ac:dyDescent="0.35">
      <c r="A104" s="60">
        <f t="shared" si="4"/>
        <v>103</v>
      </c>
      <c r="B104" s="53" t="s">
        <v>23</v>
      </c>
      <c r="C104" s="53" t="s">
        <v>1606</v>
      </c>
      <c r="D104" s="53" t="s">
        <v>1607</v>
      </c>
      <c r="E104" s="53" t="s">
        <v>1608</v>
      </c>
      <c r="F104" s="53" t="s">
        <v>1609</v>
      </c>
      <c r="G104" s="53" t="s">
        <v>1610</v>
      </c>
      <c r="H104" s="53" t="s">
        <v>922</v>
      </c>
      <c r="I104" s="53" t="s">
        <v>25</v>
      </c>
      <c r="J104" s="53" t="s">
        <v>25</v>
      </c>
      <c r="K104" s="90">
        <v>44207</v>
      </c>
      <c r="L104" s="21" t="str">
        <f t="shared" ref="L104:L110" ca="1" si="10">IF(K104="","",DATEDIF(K104,TODAY(),"Y")&amp;" Years "&amp;DATEDIF(K104,TODAY(),"YM")&amp;" Months")</f>
        <v>5 Years 2 Months</v>
      </c>
      <c r="M104" s="21"/>
      <c r="N104" s="74" t="s">
        <v>54</v>
      </c>
      <c r="O104" s="74"/>
      <c r="P104" s="21" t="s">
        <v>1402</v>
      </c>
      <c r="Q104" s="53" t="s">
        <v>668</v>
      </c>
      <c r="R104" s="53" t="s">
        <v>1611</v>
      </c>
      <c r="S104" s="53" t="s">
        <v>35</v>
      </c>
      <c r="T104" s="91" t="s">
        <v>1823</v>
      </c>
      <c r="U104" s="74" t="s">
        <v>1612</v>
      </c>
      <c r="V104" s="74" t="s">
        <v>335</v>
      </c>
      <c r="W104" s="90">
        <v>30728</v>
      </c>
      <c r="X104" s="90" t="str">
        <f t="shared" ref="X104:X110" ca="1" si="11">DATEDIF(W104, TODAY(), "Y") &amp; " Years "</f>
        <v xml:space="preserve">42 Years </v>
      </c>
      <c r="Y104" s="92">
        <v>7506905846</v>
      </c>
      <c r="Z104" s="92" t="s">
        <v>1613</v>
      </c>
      <c r="AA104" s="92" t="s">
        <v>1614</v>
      </c>
      <c r="AB104" s="92" t="s">
        <v>40</v>
      </c>
      <c r="AC104" s="92" t="s">
        <v>31</v>
      </c>
      <c r="AD104" s="84" t="s">
        <v>123</v>
      </c>
      <c r="AE104" s="74" t="s">
        <v>31</v>
      </c>
      <c r="AF104" s="74" t="s">
        <v>124</v>
      </c>
      <c r="AG104" s="21" t="s">
        <v>31</v>
      </c>
      <c r="AH104" s="21" t="s">
        <v>31</v>
      </c>
      <c r="AI104" s="21" t="s">
        <v>31</v>
      </c>
      <c r="AJ104" s="74" t="s">
        <v>63</v>
      </c>
      <c r="AK104" s="93" t="s">
        <v>1615</v>
      </c>
      <c r="AL104" s="93" t="s">
        <v>1616</v>
      </c>
      <c r="AM104" s="94" t="s">
        <v>1617</v>
      </c>
      <c r="AN104" s="92" t="s">
        <v>1618</v>
      </c>
      <c r="AO104" s="92" t="s">
        <v>1619</v>
      </c>
      <c r="AP104" s="21" t="s">
        <v>31</v>
      </c>
      <c r="AQ104" s="75" t="s">
        <v>1402</v>
      </c>
    </row>
    <row r="105" spans="1:43" x14ac:dyDescent="0.35">
      <c r="A105" s="60">
        <f t="shared" si="4"/>
        <v>104</v>
      </c>
      <c r="B105" s="53" t="s">
        <v>23</v>
      </c>
      <c r="C105" s="53" t="s">
        <v>1620</v>
      </c>
      <c r="D105" s="53" t="s">
        <v>384</v>
      </c>
      <c r="E105" s="53" t="s">
        <v>1621</v>
      </c>
      <c r="F105" s="53" t="s">
        <v>1622</v>
      </c>
      <c r="G105" s="53" t="s">
        <v>1623</v>
      </c>
      <c r="H105" s="53" t="s">
        <v>1624</v>
      </c>
      <c r="I105" s="53" t="s">
        <v>25</v>
      </c>
      <c r="J105" s="53" t="s">
        <v>25</v>
      </c>
      <c r="K105" s="90">
        <v>43770</v>
      </c>
      <c r="L105" s="21" t="str">
        <f t="shared" ca="1" si="10"/>
        <v>6 Years 4 Months</v>
      </c>
      <c r="M105" s="21"/>
      <c r="N105" s="74" t="s">
        <v>54</v>
      </c>
      <c r="O105" s="74"/>
      <c r="P105" s="21" t="s">
        <v>1402</v>
      </c>
      <c r="Q105" s="53" t="s">
        <v>668</v>
      </c>
      <c r="R105" s="53" t="s">
        <v>1625</v>
      </c>
      <c r="S105" s="53" t="s">
        <v>35</v>
      </c>
      <c r="T105" s="91" t="s">
        <v>1824</v>
      </c>
      <c r="U105" s="74" t="s">
        <v>1626</v>
      </c>
      <c r="V105" s="74" t="s">
        <v>36</v>
      </c>
      <c r="W105" s="90">
        <v>29323</v>
      </c>
      <c r="X105" s="90" t="str">
        <f t="shared" ca="1" si="11"/>
        <v xml:space="preserve">45 Years </v>
      </c>
      <c r="Y105" s="92">
        <v>9315165071</v>
      </c>
      <c r="Z105" s="92" t="s">
        <v>1627</v>
      </c>
      <c r="AA105" s="92" t="s">
        <v>1628</v>
      </c>
      <c r="AB105" s="92" t="s">
        <v>40</v>
      </c>
      <c r="AC105" s="92" t="s">
        <v>31</v>
      </c>
      <c r="AD105" s="95" t="s">
        <v>1536</v>
      </c>
      <c r="AE105" s="74" t="s">
        <v>31</v>
      </c>
      <c r="AF105" s="74" t="s">
        <v>1629</v>
      </c>
      <c r="AG105" s="21" t="s">
        <v>31</v>
      </c>
      <c r="AH105" s="21" t="s">
        <v>31</v>
      </c>
      <c r="AI105" s="21" t="s">
        <v>31</v>
      </c>
      <c r="AJ105" s="74" t="s">
        <v>463</v>
      </c>
      <c r="AK105" s="93" t="s">
        <v>1630</v>
      </c>
      <c r="AL105" s="93" t="s">
        <v>1631</v>
      </c>
      <c r="AM105" s="94" t="s">
        <v>1632</v>
      </c>
      <c r="AN105" s="21" t="s">
        <v>1633</v>
      </c>
      <c r="AO105" s="92" t="s">
        <v>181</v>
      </c>
      <c r="AP105" s="21" t="s">
        <v>31</v>
      </c>
      <c r="AQ105" s="75" t="s">
        <v>1402</v>
      </c>
    </row>
    <row r="106" spans="1:43" x14ac:dyDescent="0.35">
      <c r="A106" s="60">
        <f t="shared" si="4"/>
        <v>105</v>
      </c>
      <c r="B106" s="53" t="s">
        <v>23</v>
      </c>
      <c r="C106" s="53" t="s">
        <v>1634</v>
      </c>
      <c r="D106" s="53" t="s">
        <v>1635</v>
      </c>
      <c r="E106" s="53" t="s">
        <v>1636</v>
      </c>
      <c r="F106" s="53" t="s">
        <v>1637</v>
      </c>
      <c r="G106" s="53" t="s">
        <v>1638</v>
      </c>
      <c r="H106" s="53" t="s">
        <v>1362</v>
      </c>
      <c r="I106" s="53" t="s">
        <v>52</v>
      </c>
      <c r="J106" s="53" t="s">
        <v>52</v>
      </c>
      <c r="K106" s="90">
        <v>44185</v>
      </c>
      <c r="L106" s="21" t="str">
        <f t="shared" ca="1" si="10"/>
        <v>5 Years 3 Months</v>
      </c>
      <c r="M106" s="21"/>
      <c r="N106" s="74" t="s">
        <v>54</v>
      </c>
      <c r="O106" s="74"/>
      <c r="P106" s="21" t="s">
        <v>1402</v>
      </c>
      <c r="Q106" s="53" t="s">
        <v>668</v>
      </c>
      <c r="R106" s="53" t="s">
        <v>1639</v>
      </c>
      <c r="S106" s="53" t="s">
        <v>35</v>
      </c>
      <c r="T106" s="91" t="s">
        <v>1825</v>
      </c>
      <c r="U106" s="74" t="s">
        <v>1640</v>
      </c>
      <c r="V106" s="74" t="s">
        <v>36</v>
      </c>
      <c r="W106" s="90">
        <v>29302</v>
      </c>
      <c r="X106" s="90" t="str">
        <f t="shared" ca="1" si="11"/>
        <v xml:space="preserve">46 Years </v>
      </c>
      <c r="Y106" s="92">
        <v>9811777296</v>
      </c>
      <c r="Z106" s="92" t="s">
        <v>1641</v>
      </c>
      <c r="AA106" s="92" t="s">
        <v>1642</v>
      </c>
      <c r="AB106" s="92" t="s">
        <v>40</v>
      </c>
      <c r="AC106" s="92" t="s">
        <v>31</v>
      </c>
      <c r="AD106" s="84" t="s">
        <v>1643</v>
      </c>
      <c r="AE106" s="96">
        <v>40225</v>
      </c>
      <c r="AF106" s="79" t="s">
        <v>1644</v>
      </c>
      <c r="AG106" s="21" t="s">
        <v>31</v>
      </c>
      <c r="AH106" s="21" t="s">
        <v>31</v>
      </c>
      <c r="AI106" s="21" t="s">
        <v>31</v>
      </c>
      <c r="AJ106" s="79" t="s">
        <v>63</v>
      </c>
      <c r="AK106" s="93" t="s">
        <v>1645</v>
      </c>
      <c r="AL106" s="97" t="s">
        <v>1646</v>
      </c>
      <c r="AM106" s="94" t="s">
        <v>1647</v>
      </c>
      <c r="AN106" s="21" t="s">
        <v>31</v>
      </c>
      <c r="AO106" s="92" t="s">
        <v>1648</v>
      </c>
      <c r="AP106" s="21" t="s">
        <v>31</v>
      </c>
      <c r="AQ106" s="75" t="s">
        <v>1402</v>
      </c>
    </row>
    <row r="107" spans="1:43" x14ac:dyDescent="0.35">
      <c r="A107" s="60">
        <f t="shared" si="4"/>
        <v>106</v>
      </c>
      <c r="B107" s="53" t="s">
        <v>23</v>
      </c>
      <c r="C107" s="53" t="s">
        <v>1649</v>
      </c>
      <c r="D107" s="53" t="s">
        <v>97</v>
      </c>
      <c r="E107" s="53" t="s">
        <v>1650</v>
      </c>
      <c r="F107" s="53" t="s">
        <v>1651</v>
      </c>
      <c r="G107" s="53" t="s">
        <v>1652</v>
      </c>
      <c r="H107" s="53" t="s">
        <v>96</v>
      </c>
      <c r="I107" s="53" t="s">
        <v>25</v>
      </c>
      <c r="J107" s="53" t="s">
        <v>25</v>
      </c>
      <c r="K107" s="90">
        <v>44937</v>
      </c>
      <c r="L107" s="21" t="str">
        <f t="shared" ca="1" si="10"/>
        <v>3 Years 2 Months</v>
      </c>
      <c r="M107" s="21"/>
      <c r="N107" s="74" t="s">
        <v>54</v>
      </c>
      <c r="O107" s="74"/>
      <c r="P107" s="21" t="s">
        <v>1402</v>
      </c>
      <c r="Q107" s="53" t="s">
        <v>668</v>
      </c>
      <c r="R107" s="53" t="s">
        <v>1653</v>
      </c>
      <c r="S107" s="53" t="s">
        <v>35</v>
      </c>
      <c r="T107" s="91" t="s">
        <v>1826</v>
      </c>
      <c r="U107" s="74" t="s">
        <v>1654</v>
      </c>
      <c r="V107" s="74" t="s">
        <v>36</v>
      </c>
      <c r="W107" s="90">
        <v>28253</v>
      </c>
      <c r="X107" s="90" t="str">
        <f t="shared" ca="1" si="11"/>
        <v xml:space="preserve">48 Years </v>
      </c>
      <c r="Y107" s="92">
        <v>9810103828</v>
      </c>
      <c r="Z107" s="20" t="s">
        <v>1655</v>
      </c>
      <c r="AA107" s="20" t="s">
        <v>1656</v>
      </c>
      <c r="AB107" s="92" t="s">
        <v>40</v>
      </c>
      <c r="AC107" s="92" t="s">
        <v>31</v>
      </c>
      <c r="AD107" s="84" t="s">
        <v>41</v>
      </c>
      <c r="AE107" s="98">
        <v>37660</v>
      </c>
      <c r="AF107" s="79" t="s">
        <v>1657</v>
      </c>
      <c r="AG107" s="21" t="s">
        <v>31</v>
      </c>
      <c r="AH107" s="21" t="s">
        <v>31</v>
      </c>
      <c r="AI107" s="21" t="s">
        <v>31</v>
      </c>
      <c r="AJ107" s="79" t="s">
        <v>106</v>
      </c>
      <c r="AK107" s="93" t="s">
        <v>1658</v>
      </c>
      <c r="AL107" s="97" t="s">
        <v>1659</v>
      </c>
      <c r="AM107" s="94" t="s">
        <v>1660</v>
      </c>
      <c r="AN107" s="92" t="s">
        <v>1661</v>
      </c>
      <c r="AO107" s="92" t="s">
        <v>586</v>
      </c>
      <c r="AP107" s="21" t="s">
        <v>31</v>
      </c>
      <c r="AQ107" s="75" t="s">
        <v>1402</v>
      </c>
    </row>
    <row r="108" spans="1:43" x14ac:dyDescent="0.35">
      <c r="A108" s="60">
        <f t="shared" si="4"/>
        <v>107</v>
      </c>
      <c r="B108" s="53" t="s">
        <v>23</v>
      </c>
      <c r="C108" s="53" t="s">
        <v>1662</v>
      </c>
      <c r="D108" s="53" t="s">
        <v>1663</v>
      </c>
      <c r="E108" s="53" t="s">
        <v>1664</v>
      </c>
      <c r="F108" s="53" t="s">
        <v>1665</v>
      </c>
      <c r="G108" s="53" t="s">
        <v>1666</v>
      </c>
      <c r="H108" s="53" t="s">
        <v>29</v>
      </c>
      <c r="I108" s="53" t="s">
        <v>25</v>
      </c>
      <c r="J108" s="53" t="s">
        <v>25</v>
      </c>
      <c r="K108" s="90">
        <v>45778</v>
      </c>
      <c r="L108" s="21" t="str">
        <f t="shared" ca="1" si="10"/>
        <v>0 Years 10 Months</v>
      </c>
      <c r="M108" s="21"/>
      <c r="N108" s="74" t="s">
        <v>54</v>
      </c>
      <c r="O108" s="74"/>
      <c r="P108" s="21" t="s">
        <v>1402</v>
      </c>
      <c r="Q108" s="53" t="s">
        <v>668</v>
      </c>
      <c r="R108" s="53" t="s">
        <v>1667</v>
      </c>
      <c r="S108" s="53" t="s">
        <v>35</v>
      </c>
      <c r="T108" s="91" t="s">
        <v>1827</v>
      </c>
      <c r="U108" s="74" t="s">
        <v>1668</v>
      </c>
      <c r="V108" s="74" t="s">
        <v>36</v>
      </c>
      <c r="W108" s="90">
        <v>24431</v>
      </c>
      <c r="X108" s="90" t="str">
        <f t="shared" ca="1" si="11"/>
        <v xml:space="preserve">59 Years </v>
      </c>
      <c r="Y108" s="92">
        <v>9920298415</v>
      </c>
      <c r="Z108" s="20" t="s">
        <v>1669</v>
      </c>
      <c r="AA108" s="20" t="s">
        <v>1670</v>
      </c>
      <c r="AB108" s="92" t="s">
        <v>40</v>
      </c>
      <c r="AC108" s="92" t="s">
        <v>31</v>
      </c>
      <c r="AD108" s="84" t="s">
        <v>41</v>
      </c>
      <c r="AE108" s="79"/>
      <c r="AF108" s="79" t="s">
        <v>1671</v>
      </c>
      <c r="AG108" s="21" t="s">
        <v>31</v>
      </c>
      <c r="AH108" s="21" t="s">
        <v>31</v>
      </c>
      <c r="AI108" s="21" t="s">
        <v>31</v>
      </c>
      <c r="AJ108" s="79" t="s">
        <v>1093</v>
      </c>
      <c r="AK108" s="93"/>
      <c r="AL108" s="97" t="s">
        <v>1672</v>
      </c>
      <c r="AM108" s="94" t="s">
        <v>1673</v>
      </c>
      <c r="AN108" s="92" t="s">
        <v>1674</v>
      </c>
      <c r="AO108" s="92" t="s">
        <v>586</v>
      </c>
      <c r="AP108" s="21" t="s">
        <v>31</v>
      </c>
      <c r="AQ108" s="75" t="s">
        <v>1402</v>
      </c>
    </row>
    <row r="109" spans="1:43" x14ac:dyDescent="0.35">
      <c r="A109" s="60">
        <f t="shared" si="4"/>
        <v>108</v>
      </c>
      <c r="B109" s="53" t="s">
        <v>23</v>
      </c>
      <c r="C109" s="53" t="s">
        <v>1675</v>
      </c>
      <c r="D109" s="53" t="s">
        <v>1676</v>
      </c>
      <c r="E109" s="53" t="s">
        <v>1677</v>
      </c>
      <c r="F109" s="53" t="s">
        <v>27</v>
      </c>
      <c r="G109" s="53" t="s">
        <v>1678</v>
      </c>
      <c r="H109" s="53" t="s">
        <v>922</v>
      </c>
      <c r="I109" s="53" t="s">
        <v>923</v>
      </c>
      <c r="J109" s="53" t="s">
        <v>923</v>
      </c>
      <c r="K109" s="90">
        <v>45908</v>
      </c>
      <c r="L109" s="21" t="str">
        <f t="shared" ca="1" si="10"/>
        <v>0 Years 6 Months</v>
      </c>
      <c r="M109" s="21"/>
      <c r="N109" s="74" t="s">
        <v>54</v>
      </c>
      <c r="O109" s="74"/>
      <c r="P109" s="21" t="s">
        <v>1402</v>
      </c>
      <c r="Q109" s="53" t="s">
        <v>533</v>
      </c>
      <c r="R109" s="53" t="s">
        <v>1679</v>
      </c>
      <c r="S109" s="53" t="s">
        <v>35</v>
      </c>
      <c r="T109" s="91" t="s">
        <v>1828</v>
      </c>
      <c r="U109" s="74" t="s">
        <v>1680</v>
      </c>
      <c r="V109" s="74" t="s">
        <v>36</v>
      </c>
      <c r="W109" s="90">
        <v>35694</v>
      </c>
      <c r="X109" s="90" t="str">
        <f t="shared" ca="1" si="11"/>
        <v xml:space="preserve">28 Years </v>
      </c>
      <c r="Y109" s="99">
        <v>8285151767</v>
      </c>
      <c r="Z109" s="20" t="s">
        <v>1681</v>
      </c>
      <c r="AA109" s="20" t="s">
        <v>1682</v>
      </c>
      <c r="AB109" s="92" t="s">
        <v>40</v>
      </c>
      <c r="AC109" s="92" t="s">
        <v>31</v>
      </c>
      <c r="AD109" s="84" t="s">
        <v>123</v>
      </c>
      <c r="AE109" s="79" t="s">
        <v>31</v>
      </c>
      <c r="AF109" s="79" t="s">
        <v>1683</v>
      </c>
      <c r="AG109" s="21" t="s">
        <v>31</v>
      </c>
      <c r="AH109" s="21" t="s">
        <v>31</v>
      </c>
      <c r="AI109" s="21" t="s">
        <v>31</v>
      </c>
      <c r="AJ109" s="74" t="s">
        <v>63</v>
      </c>
      <c r="AK109" s="93" t="s">
        <v>1684</v>
      </c>
      <c r="AL109" s="97" t="s">
        <v>1684</v>
      </c>
      <c r="AM109" s="94">
        <v>9300316554</v>
      </c>
      <c r="AN109" s="92" t="s">
        <v>1685</v>
      </c>
      <c r="AO109" s="92" t="s">
        <v>935</v>
      </c>
      <c r="AP109" s="21" t="s">
        <v>31</v>
      </c>
      <c r="AQ109" s="75" t="s">
        <v>1402</v>
      </c>
    </row>
    <row r="110" spans="1:43" x14ac:dyDescent="0.35">
      <c r="A110" s="60">
        <f t="shared" si="4"/>
        <v>109</v>
      </c>
      <c r="B110" s="53" t="s">
        <v>23</v>
      </c>
      <c r="C110" s="53" t="s">
        <v>1686</v>
      </c>
      <c r="D110" s="53" t="s">
        <v>1687</v>
      </c>
      <c r="E110" s="53" t="s">
        <v>1688</v>
      </c>
      <c r="F110" s="53" t="s">
        <v>1689</v>
      </c>
      <c r="G110" s="53" t="s">
        <v>1690</v>
      </c>
      <c r="H110" s="53" t="s">
        <v>1691</v>
      </c>
      <c r="I110" s="53" t="s">
        <v>25</v>
      </c>
      <c r="J110" s="53" t="s">
        <v>25</v>
      </c>
      <c r="K110" s="90">
        <v>46082</v>
      </c>
      <c r="L110" s="21" t="str">
        <f t="shared" ca="1" si="10"/>
        <v>0 Years 0 Months</v>
      </c>
      <c r="M110" s="21"/>
      <c r="N110" s="74" t="s">
        <v>54</v>
      </c>
      <c r="O110" s="74"/>
      <c r="P110" s="21" t="s">
        <v>1402</v>
      </c>
      <c r="Q110" s="53" t="s">
        <v>30</v>
      </c>
      <c r="R110" s="53" t="s">
        <v>1692</v>
      </c>
      <c r="S110" s="53" t="s">
        <v>35</v>
      </c>
      <c r="T110" s="91" t="s">
        <v>1829</v>
      </c>
      <c r="U110" s="74" t="s">
        <v>1693</v>
      </c>
      <c r="V110" s="74" t="s">
        <v>36</v>
      </c>
      <c r="W110" s="90">
        <v>29789</v>
      </c>
      <c r="X110" s="90" t="str">
        <f t="shared" ca="1" si="11"/>
        <v xml:space="preserve">44 Years </v>
      </c>
      <c r="Y110" s="99">
        <v>9920440878</v>
      </c>
      <c r="Z110" s="20" t="s">
        <v>1694</v>
      </c>
      <c r="AA110" s="20" t="s">
        <v>1695</v>
      </c>
      <c r="AB110" s="92" t="s">
        <v>40</v>
      </c>
      <c r="AC110" s="92" t="s">
        <v>31</v>
      </c>
      <c r="AD110" s="84" t="s">
        <v>41</v>
      </c>
      <c r="AE110" s="79"/>
      <c r="AF110" s="79" t="s">
        <v>288</v>
      </c>
      <c r="AG110" s="21" t="s">
        <v>1696</v>
      </c>
      <c r="AH110" s="21" t="s">
        <v>1697</v>
      </c>
      <c r="AI110" s="21" t="s">
        <v>62</v>
      </c>
      <c r="AJ110" s="74" t="s">
        <v>85</v>
      </c>
      <c r="AK110" s="93" t="s">
        <v>1698</v>
      </c>
      <c r="AL110" s="97" t="s">
        <v>1699</v>
      </c>
      <c r="AM110" s="94" t="s">
        <v>1700</v>
      </c>
      <c r="AN110" s="92" t="s">
        <v>1701</v>
      </c>
      <c r="AO110" s="92" t="s">
        <v>90</v>
      </c>
      <c r="AP110" s="21" t="s">
        <v>31</v>
      </c>
      <c r="AQ110" s="75" t="s">
        <v>1402</v>
      </c>
    </row>
  </sheetData>
  <dataValidations count="12">
    <dataValidation type="list" allowBlank="1" showInputMessage="1" showErrorMessage="1" sqref="V110" xr:uid="{6D798AB0-7ADE-465C-9503-789DE72E2E8E}">
      <formula1>$X$2:$X$86</formula1>
    </dataValidation>
    <dataValidation type="list" allowBlank="1" showInputMessage="1" showErrorMessage="1" sqref="AB110" xr:uid="{1D671B07-6B59-44DF-9890-980F59E948F6}">
      <formula1>$AD$2:$AD$86</formula1>
    </dataValidation>
    <dataValidation type="list" allowBlank="1" showInputMessage="1" showErrorMessage="1" sqref="AD91:AD99" xr:uid="{76699115-1DD3-4F6D-A155-426BAC861C03}">
      <formula1>$AD$2:$AD$10</formula1>
    </dataValidation>
    <dataValidation type="list" allowBlank="1" showInputMessage="1" showErrorMessage="1" sqref="I91:I99 AB91:AB99 V91:V99 P91:Q99 N91:N99" xr:uid="{330A89CE-8946-4F68-BE57-BC6CF0F4FF47}">
      <formula1>#REF!</formula1>
    </dataValidation>
    <dataValidation type="list" allowBlank="1" showInputMessage="1" showErrorMessage="1" sqref="P2:P85" xr:uid="{1861B6CD-9DD4-4462-B1B7-4ED8D58D53DC}">
      <formula1>$N$69:$N$85</formula1>
    </dataValidation>
    <dataValidation type="list" allowBlank="1" showInputMessage="1" showErrorMessage="1" sqref="Q2:Q86" xr:uid="{91F1D419-D33F-4AEA-8929-61B31F1B6761}">
      <formula1>$Q$2:$Q$85</formula1>
    </dataValidation>
    <dataValidation type="list" allowBlank="1" showInputMessage="1" showErrorMessage="1" sqref="S2:S85" xr:uid="{A1D49E5A-D78E-47A6-9A06-7450819C2BE1}">
      <formula1>$S$2:$S$85</formula1>
    </dataValidation>
    <dataValidation type="list" allowBlank="1" showInputMessage="1" showErrorMessage="1" sqref="V2:V85" xr:uid="{F88CA89D-829B-4916-A3BE-320D4F3DF2D8}">
      <formula1>$V$2:$V$85</formula1>
    </dataValidation>
    <dataValidation type="list" allowBlank="1" showInputMessage="1" showErrorMessage="1" sqref="I58:J58 I2:I57 I59:I85 I88" xr:uid="{9144CA0C-D210-4D17-9B1B-79420CA514AF}">
      <formula1>$I$2:$I$85</formula1>
    </dataValidation>
    <dataValidation type="list" allowBlank="1" showInputMessage="1" showErrorMessage="1" sqref="N2:N85" xr:uid="{FD83F880-D13C-4BB9-893B-A20944DE3F03}">
      <formula1>$N$2:$N$85</formula1>
    </dataValidation>
    <dataValidation type="list" allowBlank="1" showInputMessage="1" showErrorMessage="1" sqref="AD2:AD85" xr:uid="{9CF0BEDD-7841-4628-A6AB-08E00339C35C}">
      <formula1>$AD$2:$AD$85</formula1>
    </dataValidation>
    <dataValidation type="list" allowBlank="1" showInputMessage="1" showErrorMessage="1" sqref="AB2:AB85" xr:uid="{5F06852E-7E59-4FD9-BDE4-95A6F92683AD}">
      <formula1>$AB$2:$AB$85</formula1>
    </dataValidation>
  </dataValidations>
  <hyperlinks>
    <hyperlink ref="T2" r:id="rId1" display="karandeep@fctecnrgy.com" xr:uid="{22572ABC-23F9-473B-83F2-6D00B5B95001}"/>
    <hyperlink ref="T3" r:id="rId2" display="deepakranga@fctecnrgy.com" xr:uid="{70FB264E-E36C-4A5D-A267-0D4E6F66CD7F}"/>
    <hyperlink ref="T4" r:id="rId3" display="ranveer@fctecnrgy.com" xr:uid="{17593B26-0371-48B8-868D-7F20B0106C14}"/>
    <hyperlink ref="T5" r:id="rId4" display="ashish@fctecnrgy.com" xr:uid="{6F152063-A185-42F6-A8A3-CB3696482196}"/>
    <hyperlink ref="T6" r:id="rId5" display="eric@fctecnrgy.com" xr:uid="{4EE07ABE-82DE-4D99-9EB6-BDC35D3D02B1}"/>
    <hyperlink ref="T7" r:id="rId6" display="vanlalsanga@fctecnrgy.com" xr:uid="{BB9EE47A-1655-4B73-86F8-EA29A2271495}"/>
    <hyperlink ref="T9" r:id="rId7" display="gourav@fctecnrgy.com" xr:uid="{7B349A4C-D489-4EEE-A925-A8AF3436DED5}"/>
    <hyperlink ref="T10" r:id="rId8" display="vikasgaur@fctecnrgy.com" xr:uid="{82D3A20F-81E6-489E-98C0-1C07C06F8084}"/>
    <hyperlink ref="T11" r:id="rId9" display="prabhat@fctecnrgy.com" xr:uid="{C329CD52-ECDB-40E2-8E12-2C24961BE6F2}"/>
    <hyperlink ref="T16" r:id="rId10" display="jitul.hazarika@fctecnrgy.com" xr:uid="{753797B6-63C6-4823-A75B-0CA04622A6F8}"/>
    <hyperlink ref="T8" r:id="rId11" display="takhesira@fctecnrgy.com" xr:uid="{F0DA573D-F96A-43BD-83CA-2649A075B9DA}"/>
    <hyperlink ref="T15" r:id="rId12" display="romen@fctecnrgy.com" xr:uid="{1FFBA9AE-7A15-4485-83E4-B2F7E7020596}"/>
    <hyperlink ref="T12" r:id="rId13" display="amlesh.sah@fctecnrgy.com" xr:uid="{BBEBE379-2093-4BDA-8869-7A2D86AE5813}"/>
    <hyperlink ref="T13" r:id="rId14" display="roshan@fctecnrgy.com" xr:uid="{AC8501BC-E6D5-4064-AAB4-5F1BE7257867}"/>
    <hyperlink ref="T14" r:id="rId15" display="swadhin@fctecnrgy.com" xr:uid="{837CE0C5-6099-4C1B-A00F-1383E182E8C1}"/>
    <hyperlink ref="T17" r:id="rId16" display="vikash@fctecnrgy.com" xr:uid="{E6B2AD34-CF44-49B2-8F1C-B0E4D2FFCE09}"/>
    <hyperlink ref="T18" r:id="rId17" display="PRAMOD@fctecnrgy.com" xr:uid="{BDE1BCED-62F2-423D-80B1-224EFB514255}"/>
    <hyperlink ref="T19" r:id="rId18" display="choton@fctecnrgy.com" xr:uid="{73A64E24-26F0-4FC4-85DF-FE51560DC5A4}"/>
    <hyperlink ref="T20" r:id="rId19" display="mohan@fctecnrgy.com" xr:uid="{3CCE0635-45E8-4118-87BE-2299D4EC8F37}"/>
    <hyperlink ref="T21" r:id="rId20" display="rejaqul@fctecnrgy.com" xr:uid="{5EA41B44-1A0E-471D-8D6D-ACC12F4CBE6B}"/>
    <hyperlink ref="T22" r:id="rId21" display="kiran@fctecnrgy.com" xr:uid="{50D16C10-CF81-471C-B09A-24E96D3A8C11}"/>
    <hyperlink ref="T23" r:id="rId22" display="mailto:sagar@fctecnrgy.com" xr:uid="{7FCEF99B-87D5-457C-BD70-628FB51A8A77}"/>
    <hyperlink ref="T26" r:id="rId23" display="ramesh@fctecnrgy.com" xr:uid="{752153A7-E62D-4480-891E-17E67B0C211E}"/>
    <hyperlink ref="T27" r:id="rId24" display="mailto:anup@fctecnrgy.com" xr:uid="{E9E80C04-3D83-4885-B871-767268817F9F}"/>
    <hyperlink ref="T28" r:id="rId25" display="nishant@fctecnrgy.com" xr:uid="{47C7DE04-6A8C-499F-8792-D2BBB577F4FD}"/>
    <hyperlink ref="T30" r:id="rId26" display="gautam@fctecnrgy.com" xr:uid="{0B7709B2-E1AD-4229-A46B-D6BE84A29F3F}"/>
    <hyperlink ref="T31" r:id="rId27" display="mailto:gyanendra@fctecnrgy.com" xr:uid="{E5805870-39EC-4133-8DBA-2FF064ED2DF2}"/>
    <hyperlink ref="T29" r:id="rId28" display="vipin@fctecnrgy.com" xr:uid="{EA2C2568-C81C-46B7-ABC3-6792291C69CC}"/>
    <hyperlink ref="T25" r:id="rId29" display="nipunta@fctecnrgy.com" xr:uid="{7238297C-515F-40F5-B566-B5F3DE5FB067}"/>
    <hyperlink ref="T34" r:id="rId30" display="mailto:syed@fctecnrgy.com" xr:uid="{448E723C-F5FB-4600-9A88-8F54A9B1242D}"/>
    <hyperlink ref="T33" r:id="rId31" display="rakesh@fctecnrgy.com" xr:uid="{661896F8-01C6-4CA3-9047-2DF6ACA7F1C0}"/>
    <hyperlink ref="T36" r:id="rId32" display="pinky@fctecnrgy.com" xr:uid="{395C4808-CC8C-465C-A243-F91A0FDC79AE}"/>
    <hyperlink ref="T37" r:id="rId33" display="akashdeep@fctecnrgy.com" xr:uid="{4B0C7522-8FDC-440E-8079-01CFAC304709}"/>
    <hyperlink ref="T38" r:id="rId34" display="mukesh@fctecnrgy.com" xr:uid="{9CBAB509-1DE7-49B0-9028-488F5D40781A}"/>
    <hyperlink ref="T40" r:id="rId35" display="dalip@fctecnrgy.com" xr:uid="{44FA8434-2742-4E2D-A0E6-15265E08CE8E}"/>
    <hyperlink ref="T41" r:id="rId36" display="younis@fctecnrgy.com" xr:uid="{1F19FA30-59F9-42B4-8BF1-3B96ED290B1C}"/>
    <hyperlink ref="T43" r:id="rId37" display="suraj@fctecnrgy.com" xr:uid="{1D85C6C7-AF2F-43D2-918C-5FAC72D2A435}"/>
    <hyperlink ref="T42" r:id="rId38" display="pramud@fctecnrgy.com" xr:uid="{2E51207A-A7A9-4BE7-B16A-DEA9DEB2673B}"/>
    <hyperlink ref="T44" r:id="rId39" display="riti@fctecnrgy.com" xr:uid="{9D91023E-BBBC-487D-B3CA-AE0231F1927C}"/>
    <hyperlink ref="T45" r:id="rId40" display="asif@fctecnrgy.com" xr:uid="{F1A152FC-6286-4EF0-9E87-B6BAF4228DCF}"/>
    <hyperlink ref="T46" r:id="rId41" display="himanshu.parivar@fctecnrgy.com" xr:uid="{C24D87A5-3F76-41AB-81ED-E83071896923}"/>
    <hyperlink ref="T47" r:id="rId42" display="jitendra@fctecnrgy.com" xr:uid="{B668E0A2-E885-4AAF-BEDC-F565CAFF355F}"/>
    <hyperlink ref="T48" r:id="rId43" display="mailto:amit.kumar@fctecnrgy.com" xr:uid="{5ED83AB5-BFC2-43ED-A9B4-6CF22683C329}"/>
    <hyperlink ref="T49" r:id="rId44" display="mailto:basit.mushtaq@fctecnrgy.com" xr:uid="{0E564DFA-2AE5-4A88-AC43-B2994C2165A5}"/>
    <hyperlink ref="T50" r:id="rId45" display="mailto:raunak@fctecnrgy.com" xr:uid="{7EB373D7-F95B-47BB-8245-6D7350F585C3}"/>
    <hyperlink ref="T51" r:id="rId46" display="sangeeta@fctecnrgy.com" xr:uid="{5E6EDE73-9F0E-45D3-967F-535E2E72D016}"/>
    <hyperlink ref="T52" r:id="rId47" display="ajay.kumar@fctecnrgy.com" xr:uid="{C5C7753C-BD9E-4F74-AAB3-7A94AC1A098B}"/>
    <hyperlink ref="T53" r:id="rId48" display="mailto:manoj.kumar@fctecnrgy.com" xr:uid="{757C6AA6-0B53-49AA-A27D-027D85C7191E}"/>
    <hyperlink ref="T54" r:id="rId49" display="pranjal.saikiah@fctecnrgy.com" xr:uid="{D0FF30CF-E169-4C55-9F07-D10F754E2A37}"/>
    <hyperlink ref="T55" r:id="rId50" display="advitiya.kathuria@fctecnrgy.com" xr:uid="{A97CC78C-2987-47CB-A91F-0F4AD8FFDF78}"/>
    <hyperlink ref="T56" r:id="rId51" display="bedanta.bora@fctecnrgy.com" xr:uid="{F72E982B-BA56-46B4-91F3-837CFDC25996}"/>
    <hyperlink ref="T32" r:id="rId52" display="mailto:vishwamitra@fctecnrgy.com" xr:uid="{15659D2A-C9B9-4C95-8170-EF6D0E90A875}"/>
    <hyperlink ref="T35" r:id="rId53" display="sandeep@fctecnrgy.com" xr:uid="{9D2223AF-FCE1-4F09-9233-A9C5C4C7D6BF}"/>
    <hyperlink ref="T57" r:id="rId54" display="anuj.kumar@fctecnrgy.com" xr:uid="{B7286879-CC09-4AFE-9935-4055AF10D8FA}"/>
    <hyperlink ref="T39" r:id="rId55" display="arunkumar@fctecnrgy.com" xr:uid="{0377CB74-3819-432D-9E50-161EC1A69514}"/>
    <hyperlink ref="T59" r:id="rId56" display="kewal.rai@fctecnrgy.com" xr:uid="{042BE671-A7BB-4FA1-ADD9-09DB62522363}"/>
    <hyperlink ref="T58" r:id="rId57" display="yojna.rakheja@fctecnrgy.com" xr:uid="{108FD558-3670-4F68-BDFB-75530C4D3EB1}"/>
    <hyperlink ref="T62" r:id="rId58" display="riddhi.oberoi@fctecnrgy.com" xr:uid="{6A68F832-1D3C-4950-87F4-54F16A68EB35}"/>
    <hyperlink ref="T60" r:id="rId59" display="sanjana.nagar@fctecnrgy.com" xr:uid="{DA2494F7-6A52-4FF9-B7BC-629B3F6F603D}"/>
    <hyperlink ref="T61" r:id="rId60" display="Arvind.agrahari@fctecnrgy.com" xr:uid="{3BE4C13F-C558-47C6-B4CA-CCCFC0679647}"/>
    <hyperlink ref="T63" r:id="rId61" display="Devansh.sharma@fctecnrgy.com" xr:uid="{99C255FD-66CF-476B-B43E-0852B6DF8E7C}"/>
    <hyperlink ref="T64" r:id="rId62" display="jeevan.singh@fctecnrgy.com" xr:uid="{D55CE4D1-803C-4283-88D5-1C78736DDBCF}"/>
    <hyperlink ref="T65" r:id="rId63" display="sudhanshu.misra@fctecnrgy.com" xr:uid="{15F72E1F-57BE-44F9-9004-DED8309A2CE3}"/>
    <hyperlink ref="T66" r:id="rId64" display="nitin.bharti@fctecnrgy.com" xr:uid="{A110E8E9-CD9F-442E-8588-DF5F72B20393}"/>
    <hyperlink ref="T67" r:id="rId65" display="kashish.juneja@fctecnrgy.com" xr:uid="{E70EA026-79E0-4E6E-B2ED-C1BE70751A9F}"/>
    <hyperlink ref="T68" r:id="rId66" display="aditya.raj@fctecnrgy.com" xr:uid="{3BF86953-7A92-4771-A8A8-354D46F9D0E1}"/>
    <hyperlink ref="T69" r:id="rId67" display="prikshit.sharma@fctecnrgy.com" xr:uid="{DD6F9DF5-5FCD-420F-8A09-30B077E5C610}"/>
    <hyperlink ref="T70" r:id="rId68" display="harsh.kumar@fctecnrgy.com" xr:uid="{BF9FE11E-B5AF-4F74-8021-B98C73353ADD}"/>
    <hyperlink ref="T71" r:id="rId69" display="gaurav.baruah@fctecnrgy.com" xr:uid="{98758C85-2534-47F9-A845-2092995F1D03}"/>
    <hyperlink ref="T72" r:id="rId70" display="ajay@fctecnrgy.com" xr:uid="{ED384EF7-FF4A-4665-84D8-E81D0A3F7053}"/>
    <hyperlink ref="T74" r:id="rId71" display="mailto:Devshish.sharma@fctecnrgy.com" xr:uid="{8FF40784-8165-44DC-AEE1-E14C510B7839}"/>
    <hyperlink ref="T73" r:id="rId72" display="Ubaidul.dar@fctecnrgy.com" xr:uid="{12D71952-63A3-4A79-8F29-9D943A3B5CEF}"/>
    <hyperlink ref="T77" r:id="rId73" display="mailto:karan@fctecnrgy.com" xr:uid="{A4646C71-DD8E-43EC-A080-EF037ED8323E}"/>
    <hyperlink ref="T78" r:id="rId74" display="vishal.baijal@fctecnrgy.com" xr:uid="{F5FF66FD-F32D-4A3B-BCAF-9CEB9B3B03D1}"/>
    <hyperlink ref="T79" r:id="rId75" display="mailto:nikhil.sharma@fctecnrgy.com" xr:uid="{E16D3A12-64AC-4793-955F-8EEF8F3BB3F9}"/>
    <hyperlink ref="T80" r:id="rId76" display="mailto:aditya.sharma@fctecnrgy.com" xr:uid="{DF214249-3E53-4F53-8E99-FBDAD932DBBC}"/>
    <hyperlink ref="T81" r:id="rId77" display="mailto:bitupan.konch@fctecnrgy.com" xr:uid="{5D1CD4E1-05D7-48F1-A0D2-42B63C4EC264}"/>
    <hyperlink ref="U80" r:id="rId78" xr:uid="{07EFECA9-E6D0-4258-9AE0-AE6A0F4A0491}"/>
    <hyperlink ref="T82" r:id="rId79" display="neeraj.kumar@fctecnrgy.com" xr:uid="{8FC08B28-88B7-4C88-8072-B535436E89C5}"/>
    <hyperlink ref="T24" r:id="rId80" display="amit.singh@fctecnrgy.com" xr:uid="{AA269946-01BC-4225-A878-3F0CA2A22662}"/>
    <hyperlink ref="U42" r:id="rId81" xr:uid="{72FAA996-09C5-4830-B364-372DCDE01A55}"/>
    <hyperlink ref="T83" r:id="rId82" display="sonu.prasad@fctecnrgy.com" xr:uid="{F170605C-6FF8-47B5-946F-646D30397B31}"/>
    <hyperlink ref="T84" r:id="rId83" display="ayush.sahrawat@fctecnrgy.com" xr:uid="{64B5B619-BC23-4F08-9FBD-721E08C9EBFE}"/>
    <hyperlink ref="U75" r:id="rId84" xr:uid="{976CE47E-8B7A-46EE-A791-50D97FFC6CBD}"/>
    <hyperlink ref="T86" r:id="rId85" display="rishabh.jain@fctecnrgy.com" xr:uid="{FF8885DA-677F-4E7A-9BDE-C03567DF82B1}"/>
    <hyperlink ref="U86" r:id="rId86" xr:uid="{07B88DC1-1D57-44CB-A9E1-5CE5AA5A5E1D}"/>
    <hyperlink ref="T87" r:id="rId87" tooltip="mailto:cs.fct@fctecnrgy.com" display="mailto:cs.fct@fctecnrgy.com" xr:uid="{3C9023A1-7644-469E-8699-AA271FB4E6C0}"/>
    <hyperlink ref="T88" r:id="rId88" display="mailto:sumit.chaudhary@fctecnrgy.com" xr:uid="{E9BEB75A-E36C-42AF-86FE-90610013CFA6}"/>
    <hyperlink ref="T94" r:id="rId89" display="mailto:amanulla@fctecnrgy.com" xr:uid="{030ED771-16B4-4356-8F72-87B3BE321F27}"/>
    <hyperlink ref="T96" r:id="rId90" display="mailto:mutarif.hussain@fctecnrgy.com" xr:uid="{CBA1A5BD-FD6F-46E5-B028-72A45BBBED83}"/>
    <hyperlink ref="T98" r:id="rId91" display="ibapaka@fctecnrgy.com" xr:uid="{C7D0770C-C4E4-44A8-A116-11DC0205E92C}"/>
    <hyperlink ref="U92" r:id="rId92" xr:uid="{A9B1DEFD-C040-4471-BEA8-466AA7B9B1BB}"/>
    <hyperlink ref="U97" r:id="rId93" xr:uid="{B3A7DAFD-6C5C-4DFF-8523-31E50B24F721}"/>
    <hyperlink ref="T103" r:id="rId94" display="biju@fctecnrgy.com" xr:uid="{56EAC0F1-6845-457F-A113-832F449E6537}"/>
    <hyperlink ref="T105" r:id="rId95" display="Suarabh@fctecnrgy.com" xr:uid="{AE50B007-F704-4C70-89E9-F939690EC97D}"/>
    <hyperlink ref="T107" r:id="rId96" display="vinu.saini@fctecnrgy.com" xr:uid="{1E39CF60-95A1-4F92-AA84-4D6BD4B51419}"/>
    <hyperlink ref="T108" r:id="rId97" display="deepak.bakshi@fctecnrgy.com" xr:uid="{34E29E48-A4FF-41E0-A99D-C6B13460A180}"/>
    <hyperlink ref="T109" r:id="rId98" display="navdeep.singh@fctecnrgy.com" xr:uid="{5A8FC261-6B5F-4D47-A245-0F8D471FF8D3}"/>
    <hyperlink ref="U109" r:id="rId99" xr:uid="{5F735EBE-0B0E-4704-8B50-6640798BDB8D}"/>
    <hyperlink ref="T110" r:id="rId100" display="ravi@fctecnrgy.com" xr:uid="{D2A45985-9B9F-4270-9E67-1DC6D28BDE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 Sekhar</dc:creator>
  <cp:lastModifiedBy>Som Sekhar</cp:lastModifiedBy>
  <dcterms:created xsi:type="dcterms:W3CDTF">2026-03-23T17:49:04Z</dcterms:created>
  <dcterms:modified xsi:type="dcterms:W3CDTF">2026-03-23T17:54:26Z</dcterms:modified>
</cp:coreProperties>
</file>