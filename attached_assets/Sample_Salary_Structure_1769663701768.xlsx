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tecnrgy-my.sharepoint.com/personal/riddhi_oberoi_fctecnrgy_com/Documents/"/>
    </mc:Choice>
  </mc:AlternateContent>
  <xr:revisionPtr revIDLastSave="0" documentId="8_{5B1DBD1D-EC5E-436A-A227-E21FAF3E745B}" xr6:coauthVersionLast="47" xr6:coauthVersionMax="47" xr10:uidLastSave="{00000000-0000-0000-0000-000000000000}"/>
  <bookViews>
    <workbookView xWindow="380" yWindow="380" windowWidth="18680" windowHeight="9770" xr2:uid="{2744C069-6657-483B-8E07-F92833E5E79F}"/>
  </bookViews>
  <sheets>
    <sheet name="XY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F25" i="1"/>
  <c r="E25" i="1"/>
  <c r="G24" i="1"/>
  <c r="F24" i="1"/>
  <c r="E24" i="1"/>
  <c r="J22" i="1"/>
  <c r="F22" i="1"/>
  <c r="E22" i="1"/>
  <c r="D22" i="1"/>
  <c r="G22" i="1" s="1"/>
  <c r="C22" i="1"/>
  <c r="B22" i="1"/>
  <c r="D21" i="1"/>
  <c r="G21" i="1" s="1"/>
  <c r="C21" i="1"/>
  <c r="F21" i="1" s="1"/>
  <c r="B21" i="1"/>
  <c r="E21" i="1" s="1"/>
  <c r="G20" i="1"/>
  <c r="F20" i="1"/>
  <c r="E20" i="1"/>
  <c r="D20" i="1"/>
  <c r="C20" i="1"/>
  <c r="B20" i="1"/>
  <c r="D19" i="1"/>
  <c r="G19" i="1" s="1"/>
  <c r="C19" i="1"/>
  <c r="F19" i="1" s="1"/>
  <c r="B19" i="1"/>
  <c r="E19" i="1" s="1"/>
  <c r="G18" i="1"/>
  <c r="F18" i="1"/>
  <c r="E18" i="1"/>
  <c r="D18" i="1"/>
  <c r="C18" i="1"/>
  <c r="B18" i="1"/>
  <c r="D17" i="1"/>
  <c r="G17" i="1" s="1"/>
  <c r="C17" i="1"/>
  <c r="F17" i="1" s="1"/>
  <c r="B17" i="1"/>
  <c r="E17" i="1" s="1"/>
  <c r="D12" i="1"/>
  <c r="D23" i="1" s="1"/>
  <c r="D29" i="1" s="1"/>
  <c r="C12" i="1"/>
  <c r="C23" i="1" s="1"/>
  <c r="C29" i="1" s="1"/>
  <c r="B12" i="1"/>
  <c r="B23" i="1" s="1"/>
  <c r="B29" i="1" s="1"/>
  <c r="F10" i="1"/>
  <c r="F23" i="1" l="1"/>
  <c r="F29" i="1" s="1"/>
  <c r="G23" i="1"/>
  <c r="G29" i="1" s="1"/>
  <c r="B31" i="1"/>
  <c r="I20" i="1"/>
  <c r="E23" i="1"/>
  <c r="E29" i="1" s="1"/>
</calcChain>
</file>

<file path=xl/sharedStrings.xml><?xml version="1.0" encoding="utf-8"?>
<sst xmlns="http://schemas.openxmlformats.org/spreadsheetml/2006/main" count="50" uniqueCount="36">
  <si>
    <t>structure 1</t>
  </si>
  <si>
    <t>Structure 1</t>
  </si>
  <si>
    <t>Structure 2</t>
  </si>
  <si>
    <t>Structure 3</t>
  </si>
  <si>
    <t>Common</t>
  </si>
  <si>
    <t>Specific</t>
  </si>
  <si>
    <t>For ESI &amp; PF concern</t>
  </si>
  <si>
    <t>PM</t>
  </si>
  <si>
    <t>PA</t>
  </si>
  <si>
    <t>Monthly Employer share</t>
  </si>
  <si>
    <t>Annual Employer share</t>
  </si>
  <si>
    <t>Employee Share</t>
  </si>
  <si>
    <t>Basic</t>
  </si>
  <si>
    <t>HRA</t>
  </si>
  <si>
    <t>conveyance</t>
  </si>
  <si>
    <t>DA</t>
  </si>
  <si>
    <t>Communication</t>
  </si>
  <si>
    <t>Medical</t>
  </si>
  <si>
    <t>CTC</t>
  </si>
  <si>
    <t>Employer contribution</t>
  </si>
  <si>
    <t>Less- Medical Insurance</t>
  </si>
  <si>
    <t>Variable @ %</t>
  </si>
  <si>
    <t>Gross</t>
  </si>
  <si>
    <t>PF (Emp+Empl)</t>
  </si>
  <si>
    <t>Net Pay</t>
  </si>
  <si>
    <t>Age brackets</t>
  </si>
  <si>
    <t>0-18</t>
  </si>
  <si>
    <t>19-35</t>
  </si>
  <si>
    <t>36-45</t>
  </si>
  <si>
    <t>46-55</t>
  </si>
  <si>
    <t>56-60</t>
  </si>
  <si>
    <t>61-65</t>
  </si>
  <si>
    <t>66-70</t>
  </si>
  <si>
    <t>71-75</t>
  </si>
  <si>
    <t>76-90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</si>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</sst>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E9E9-466D-445D-BA65-88EBD9398126}">
  <dimension ref="A2:J42"/>
  <sheetViews>
    <sheetView tabSelected="1" workbookViewId="0">
      <selection activeCell="B1" sqref="B1"/>
    </sheetView>
  </sheetViews>
  <sheetFormatPr defaultRowHeight="14.5" x14ac:dyDescent="0.35"/>
  <cols>
    <col min="1" max="1" width="20.453125" bestFit="1" customWidth="1"/>
    <col min="2" max="2" width="20.08984375" bestFit="1" customWidth="1"/>
    <col min="3" max="3" width="19.26953125" bestFit="1" customWidth="1"/>
    <col min="4" max="4" width="17.453125" bestFit="1" customWidth="1"/>
    <col min="5" max="7" width="9.54296875" bestFit="1" customWidth="1"/>
  </cols>
  <sheetData>
    <row r="2" spans="1:7" x14ac:dyDescent="0.35">
      <c r="A2" s="1" t="s">
        <v>35</v>
      </c>
      <c r="B2" s="1" t="s">
        <v>0</v>
      </c>
    </row>
    <row r="4" spans="1:7" x14ac:dyDescent="0.35">
      <c r="A4" s="1"/>
      <c r="B4" s="1" t="s">
        <v>1</v>
      </c>
      <c r="C4" s="1" t="s">
        <v>2</v>
      </c>
      <c r="D4" s="1" t="s">
        <v>3</v>
      </c>
    </row>
    <row r="5" spans="1:7" x14ac:dyDescent="0.35">
      <c r="A5" s="1"/>
      <c r="B5" s="1" t="s">
        <v>4</v>
      </c>
      <c r="C5" s="1" t="s">
        <v>5</v>
      </c>
      <c r="D5" s="1" t="s">
        <v>6</v>
      </c>
    </row>
    <row r="6" spans="1:7" x14ac:dyDescent="0.35">
      <c r="A6" s="1" t="s">
        <v>12</v>
      </c>
      <c r="B6" s="2">
        <v>0.35</v>
      </c>
      <c r="C6" s="2">
        <v>0.2</v>
      </c>
      <c r="D6" s="2">
        <v>0.55000000000000004</v>
      </c>
    </row>
    <row r="7" spans="1:7" x14ac:dyDescent="0.35">
      <c r="A7" s="1" t="s">
        <v>13</v>
      </c>
      <c r="B7" s="2">
        <v>0.19</v>
      </c>
      <c r="C7" s="2">
        <v>0.19</v>
      </c>
      <c r="D7" s="2">
        <v>0.15</v>
      </c>
    </row>
    <row r="8" spans="1:7" x14ac:dyDescent="0.35">
      <c r="A8" s="1" t="s">
        <v>14</v>
      </c>
      <c r="B8" s="2">
        <v>0.04</v>
      </c>
      <c r="C8" s="2">
        <v>0.19</v>
      </c>
      <c r="D8" s="3">
        <v>0</v>
      </c>
    </row>
    <row r="9" spans="1:7" x14ac:dyDescent="0.35">
      <c r="A9" s="1" t="s">
        <v>15</v>
      </c>
      <c r="B9" s="2">
        <v>0.33</v>
      </c>
      <c r="C9" s="2">
        <v>0.1</v>
      </c>
      <c r="D9" s="2">
        <v>0.3</v>
      </c>
    </row>
    <row r="10" spans="1:7" x14ac:dyDescent="0.35">
      <c r="A10" s="1" t="s">
        <v>16</v>
      </c>
      <c r="B10" s="2">
        <v>0.03</v>
      </c>
      <c r="C10" s="2">
        <v>0.03</v>
      </c>
      <c r="D10" s="3">
        <v>0</v>
      </c>
      <c r="F10">
        <f>20.7*10%</f>
        <v>2.0699999999999998</v>
      </c>
    </row>
    <row r="11" spans="1:7" x14ac:dyDescent="0.35">
      <c r="A11" s="1" t="s">
        <v>17</v>
      </c>
      <c r="B11" s="2">
        <v>0.06</v>
      </c>
      <c r="C11" s="2">
        <v>0.28999999999999998</v>
      </c>
      <c r="D11" s="3">
        <v>0</v>
      </c>
    </row>
    <row r="12" spans="1:7" x14ac:dyDescent="0.35">
      <c r="A12" s="1"/>
      <c r="B12" s="2">
        <f>+SUM(B6:B11)</f>
        <v>1.0000000000000002</v>
      </c>
      <c r="C12" s="2">
        <f>+SUM(C6:C11)</f>
        <v>1</v>
      </c>
      <c r="D12" s="2">
        <f>+SUM(D6:D11)</f>
        <v>1</v>
      </c>
    </row>
    <row r="14" spans="1:7" x14ac:dyDescent="0.35">
      <c r="A14" s="1" t="s">
        <v>18</v>
      </c>
      <c r="B14" s="3">
        <v>100000</v>
      </c>
      <c r="C14" s="3"/>
      <c r="D14" s="3"/>
      <c r="E14" s="1"/>
      <c r="F14" s="1"/>
      <c r="G14" s="1"/>
    </row>
    <row r="15" spans="1:7" x14ac:dyDescent="0.35">
      <c r="A15" s="1"/>
      <c r="B15" s="1" t="s">
        <v>7</v>
      </c>
      <c r="C15" s="1" t="s">
        <v>7</v>
      </c>
      <c r="D15" s="1" t="s">
        <v>7</v>
      </c>
      <c r="E15" s="1" t="s">
        <v>8</v>
      </c>
      <c r="F15" s="1" t="s">
        <v>8</v>
      </c>
      <c r="G15" s="1" t="s">
        <v>8</v>
      </c>
    </row>
    <row r="16" spans="1:7" x14ac:dyDescent="0.35">
      <c r="A16" s="1"/>
      <c r="B16" s="1" t="s">
        <v>7</v>
      </c>
      <c r="C16" s="1"/>
      <c r="D16" s="1"/>
      <c r="E16" s="1" t="s">
        <v>8</v>
      </c>
      <c r="F16" s="1" t="s">
        <v>8</v>
      </c>
      <c r="G16" s="1" t="s">
        <v>8</v>
      </c>
    </row>
    <row r="17" spans="1:10" x14ac:dyDescent="0.35">
      <c r="A17" s="1" t="s">
        <v>12</v>
      </c>
      <c r="B17" s="3">
        <f t="shared" ref="B17:B22" si="0">+B6*B$14</f>
        <v>35000</v>
      </c>
      <c r="C17" s="1">
        <f t="shared" ref="C17:C22" si="1">+B$14*C6</f>
        <v>20000</v>
      </c>
      <c r="D17" s="1">
        <f t="shared" ref="D17:D22" si="2">+B$14*D6</f>
        <v>55000.000000000007</v>
      </c>
      <c r="E17" s="4">
        <f t="shared" ref="E17:G22" si="3">+ROUND(B17*12,0)</f>
        <v>420000</v>
      </c>
      <c r="F17" s="4">
        <f t="shared" si="3"/>
        <v>240000</v>
      </c>
      <c r="G17" s="4">
        <f t="shared" si="3"/>
        <v>660000</v>
      </c>
    </row>
    <row r="18" spans="1:10" x14ac:dyDescent="0.35">
      <c r="A18" s="1" t="s">
        <v>13</v>
      </c>
      <c r="B18" s="3">
        <f t="shared" si="0"/>
        <v>19000</v>
      </c>
      <c r="C18" s="1">
        <f t="shared" si="1"/>
        <v>19000</v>
      </c>
      <c r="D18" s="1">
        <f t="shared" si="2"/>
        <v>15000</v>
      </c>
      <c r="E18" s="4">
        <f t="shared" si="3"/>
        <v>228000</v>
      </c>
      <c r="F18" s="4">
        <f t="shared" si="3"/>
        <v>228000</v>
      </c>
      <c r="G18" s="4">
        <f t="shared" si="3"/>
        <v>180000</v>
      </c>
    </row>
    <row r="19" spans="1:10" x14ac:dyDescent="0.35">
      <c r="A19" s="1" t="s">
        <v>14</v>
      </c>
      <c r="B19" s="3">
        <f t="shared" si="0"/>
        <v>4000</v>
      </c>
      <c r="C19" s="1">
        <f t="shared" si="1"/>
        <v>19000</v>
      </c>
      <c r="D19" s="1">
        <f t="shared" si="2"/>
        <v>0</v>
      </c>
      <c r="E19" s="4">
        <f t="shared" si="3"/>
        <v>48000</v>
      </c>
      <c r="F19" s="4">
        <f t="shared" si="3"/>
        <v>228000</v>
      </c>
      <c r="G19" s="4">
        <f t="shared" si="3"/>
        <v>0</v>
      </c>
    </row>
    <row r="20" spans="1:10" x14ac:dyDescent="0.35">
      <c r="A20" s="1" t="s">
        <v>15</v>
      </c>
      <c r="B20" s="3">
        <f t="shared" si="0"/>
        <v>33000</v>
      </c>
      <c r="C20" s="1">
        <f t="shared" si="1"/>
        <v>10000</v>
      </c>
      <c r="D20" s="1">
        <f t="shared" si="2"/>
        <v>30000</v>
      </c>
      <c r="E20" s="4">
        <f t="shared" si="3"/>
        <v>396000</v>
      </c>
      <c r="F20" s="4">
        <f t="shared" si="3"/>
        <v>120000</v>
      </c>
      <c r="G20" s="4">
        <f t="shared" si="3"/>
        <v>360000</v>
      </c>
      <c r="I20" s="6">
        <f>B29-3600</f>
        <v>96208.000000000029</v>
      </c>
    </row>
    <row r="21" spans="1:10" x14ac:dyDescent="0.35">
      <c r="A21" s="1" t="s">
        <v>16</v>
      </c>
      <c r="B21" s="3">
        <f t="shared" si="0"/>
        <v>3000</v>
      </c>
      <c r="C21" s="1">
        <f t="shared" si="1"/>
        <v>3000</v>
      </c>
      <c r="D21" s="1">
        <f t="shared" si="2"/>
        <v>0</v>
      </c>
      <c r="E21" s="4">
        <f t="shared" si="3"/>
        <v>36000</v>
      </c>
      <c r="F21" s="4">
        <f t="shared" si="3"/>
        <v>36000</v>
      </c>
      <c r="G21" s="4">
        <f t="shared" si="3"/>
        <v>0</v>
      </c>
    </row>
    <row r="22" spans="1:10" x14ac:dyDescent="0.35">
      <c r="A22" s="1" t="s">
        <v>17</v>
      </c>
      <c r="B22" s="3">
        <f t="shared" si="0"/>
        <v>6000</v>
      </c>
      <c r="C22" s="1">
        <f t="shared" si="1"/>
        <v>28999.999999999996</v>
      </c>
      <c r="D22" s="1">
        <f t="shared" si="2"/>
        <v>0</v>
      </c>
      <c r="E22" s="4">
        <f t="shared" si="3"/>
        <v>72000</v>
      </c>
      <c r="F22" s="4">
        <f t="shared" si="3"/>
        <v>348000</v>
      </c>
      <c r="G22" s="4">
        <f t="shared" si="3"/>
        <v>0</v>
      </c>
      <c r="J22">
        <f>39600-192</f>
        <v>39408</v>
      </c>
    </row>
    <row r="23" spans="1:10" x14ac:dyDescent="0.35">
      <c r="A23" s="1"/>
      <c r="B23" s="1">
        <f>+$B$14*B12</f>
        <v>100000.00000000003</v>
      </c>
      <c r="C23" s="1">
        <f>+$B$14*C12</f>
        <v>100000</v>
      </c>
      <c r="D23" s="1">
        <f>+$B$14*D12</f>
        <v>100000</v>
      </c>
      <c r="E23" s="4">
        <f>+SUM(E17:E22)</f>
        <v>1200000</v>
      </c>
      <c r="F23" s="4">
        <f>+SUM(F17:F22)</f>
        <v>1200000</v>
      </c>
      <c r="G23" s="4">
        <f>+SUM(G17:G22)</f>
        <v>1200000</v>
      </c>
      <c r="I23" s="7"/>
    </row>
    <row r="24" spans="1:10" x14ac:dyDescent="0.35">
      <c r="A24" s="1" t="s">
        <v>19</v>
      </c>
      <c r="B24" s="5">
        <v>288</v>
      </c>
      <c r="C24" s="5">
        <v>288</v>
      </c>
      <c r="D24" s="5">
        <v>288</v>
      </c>
      <c r="E24" s="1">
        <f>B24*12</f>
        <v>3456</v>
      </c>
      <c r="F24" s="1">
        <f>C24*12</f>
        <v>3456</v>
      </c>
      <c r="G24" s="1">
        <f>D24*12</f>
        <v>3456</v>
      </c>
    </row>
    <row r="25" spans="1:10" x14ac:dyDescent="0.35">
      <c r="A25" s="1" t="s">
        <v>20</v>
      </c>
      <c r="B25" s="5">
        <v>192</v>
      </c>
      <c r="C25" s="5">
        <v>192</v>
      </c>
      <c r="D25" s="5">
        <v>192</v>
      </c>
      <c r="E25" s="4">
        <f>+B25*12</f>
        <v>2304</v>
      </c>
      <c r="F25" s="4">
        <f>+C25*12</f>
        <v>2304</v>
      </c>
      <c r="G25" s="4">
        <f>+D25*12</f>
        <v>2304</v>
      </c>
    </row>
    <row r="26" spans="1:10" x14ac:dyDescent="0.35">
      <c r="A26" s="1"/>
      <c r="B26" s="1"/>
      <c r="C26" s="1"/>
      <c r="D26" s="1"/>
      <c r="E26" s="4"/>
      <c r="F26" s="1"/>
      <c r="G26" s="1"/>
    </row>
    <row r="27" spans="1:10" x14ac:dyDescent="0.35">
      <c r="A27" s="1" t="s">
        <v>21</v>
      </c>
      <c r="B27" s="2"/>
      <c r="C27" s="2"/>
      <c r="D27" s="2"/>
      <c r="E27" s="4">
        <v>120000</v>
      </c>
      <c r="F27" s="4">
        <v>120000</v>
      </c>
      <c r="G27" s="4">
        <v>120000</v>
      </c>
    </row>
    <row r="28" spans="1:10" x14ac:dyDescent="0.35">
      <c r="A28" s="1"/>
      <c r="B28" s="1"/>
      <c r="C28" s="1"/>
      <c r="D28" s="1"/>
      <c r="E28" s="4"/>
      <c r="F28" s="4"/>
      <c r="G28" s="4"/>
    </row>
    <row r="29" spans="1:10" x14ac:dyDescent="0.35">
      <c r="A29" s="1" t="s">
        <v>22</v>
      </c>
      <c r="B29" s="5">
        <f>+B23-B25</f>
        <v>99808.000000000029</v>
      </c>
      <c r="C29" s="1">
        <f>+C23-C25</f>
        <v>99808</v>
      </c>
      <c r="D29" s="1">
        <f>+D23-D25</f>
        <v>99808</v>
      </c>
      <c r="E29" s="4">
        <f>+E23+E24+E27</f>
        <v>1323456</v>
      </c>
      <c r="F29" s="4">
        <f>+F23+F24+F27</f>
        <v>1323456</v>
      </c>
      <c r="G29" s="4">
        <f>+G23+G24+G27</f>
        <v>1323456</v>
      </c>
    </row>
    <row r="30" spans="1:10" x14ac:dyDescent="0.35">
      <c r="A30" t="s">
        <v>23</v>
      </c>
      <c r="B30">
        <v>3600</v>
      </c>
    </row>
    <row r="31" spans="1:10" x14ac:dyDescent="0.35">
      <c r="A31" t="s">
        <v>24</v>
      </c>
      <c r="B31">
        <f>B29-B30</f>
        <v>96208.000000000029</v>
      </c>
    </row>
    <row r="33" spans="1:7" x14ac:dyDescent="0.35">
      <c r="A33" s="1" t="s">
        <v>25</v>
      </c>
      <c r="B33" s="1" t="s">
        <v>9</v>
      </c>
      <c r="C33" s="1" t="s">
        <v>10</v>
      </c>
      <c r="D33" s="1" t="s">
        <v>11</v>
      </c>
      <c r="E33" s="1"/>
      <c r="F33" s="1"/>
      <c r="G33" s="1"/>
    </row>
    <row r="34" spans="1:7" x14ac:dyDescent="0.35">
      <c r="A34" s="1" t="s">
        <v>26</v>
      </c>
      <c r="B34" s="1">
        <v>243</v>
      </c>
      <c r="C34" s="1">
        <v>2916</v>
      </c>
      <c r="D34" s="1">
        <v>162</v>
      </c>
      <c r="E34" s="1">
        <v>4860</v>
      </c>
      <c r="F34" s="1">
        <v>4566</v>
      </c>
      <c r="G34" s="1">
        <v>294</v>
      </c>
    </row>
    <row r="35" spans="1:7" x14ac:dyDescent="0.35">
      <c r="A35" s="1" t="s">
        <v>27</v>
      </c>
      <c r="B35" s="1">
        <v>288</v>
      </c>
      <c r="C35" s="1">
        <v>3456</v>
      </c>
      <c r="D35" s="1">
        <v>192</v>
      </c>
      <c r="E35" s="1">
        <v>5760</v>
      </c>
      <c r="F35" s="1">
        <v>5463</v>
      </c>
      <c r="G35" s="1">
        <v>297</v>
      </c>
    </row>
    <row r="36" spans="1:7" x14ac:dyDescent="0.35">
      <c r="A36" s="1" t="s">
        <v>28</v>
      </c>
      <c r="B36" s="1">
        <v>315</v>
      </c>
      <c r="C36" s="1">
        <v>3780</v>
      </c>
      <c r="D36" s="1">
        <v>210</v>
      </c>
      <c r="E36" s="1">
        <v>6300</v>
      </c>
      <c r="F36" s="1">
        <v>6019</v>
      </c>
      <c r="G36" s="1">
        <v>281</v>
      </c>
    </row>
    <row r="37" spans="1:7" x14ac:dyDescent="0.35">
      <c r="A37" s="1" t="s">
        <v>29</v>
      </c>
      <c r="B37" s="1">
        <v>481</v>
      </c>
      <c r="C37" s="1">
        <v>5772</v>
      </c>
      <c r="D37" s="1">
        <v>320</v>
      </c>
      <c r="E37" s="1">
        <v>9612</v>
      </c>
      <c r="F37" s="1">
        <v>9321</v>
      </c>
      <c r="G37" s="1">
        <v>291</v>
      </c>
    </row>
    <row r="38" spans="1:7" x14ac:dyDescent="0.35">
      <c r="A38" s="1" t="s">
        <v>30</v>
      </c>
      <c r="B38" s="1">
        <v>740</v>
      </c>
      <c r="C38" s="1">
        <v>8880</v>
      </c>
      <c r="D38" s="1">
        <v>493</v>
      </c>
      <c r="E38" s="1">
        <v>14796</v>
      </c>
      <c r="F38" s="1">
        <v>14511</v>
      </c>
      <c r="G38" s="1">
        <v>285</v>
      </c>
    </row>
    <row r="39" spans="1:7" x14ac:dyDescent="0.35">
      <c r="A39" s="1" t="s">
        <v>31</v>
      </c>
      <c r="B39" s="1">
        <v>1002</v>
      </c>
      <c r="C39" s="1">
        <v>12024</v>
      </c>
      <c r="D39" s="1">
        <v>668</v>
      </c>
      <c r="E39" s="1">
        <v>20040</v>
      </c>
      <c r="F39" s="1">
        <v>19743</v>
      </c>
      <c r="G39" s="1">
        <v>297</v>
      </c>
    </row>
    <row r="40" spans="1:7" x14ac:dyDescent="0.35">
      <c r="A40" s="1" t="s">
        <v>32</v>
      </c>
      <c r="B40" s="1">
        <v>1178</v>
      </c>
      <c r="C40" s="1">
        <v>14136</v>
      </c>
      <c r="D40" s="1">
        <v>785</v>
      </c>
      <c r="E40" s="1">
        <v>23556</v>
      </c>
      <c r="F40" s="1">
        <v>23269</v>
      </c>
      <c r="G40" s="1">
        <v>287</v>
      </c>
    </row>
    <row r="41" spans="1:7" x14ac:dyDescent="0.35">
      <c r="A41" s="1" t="s">
        <v>33</v>
      </c>
      <c r="B41" s="1">
        <v>1388</v>
      </c>
      <c r="C41" s="1">
        <v>16656</v>
      </c>
      <c r="D41" s="1">
        <v>925</v>
      </c>
      <c r="E41" s="1">
        <v>27756</v>
      </c>
      <c r="F41" s="1">
        <v>27469</v>
      </c>
      <c r="G41" s="1">
        <v>287</v>
      </c>
    </row>
    <row r="42" spans="1:7" x14ac:dyDescent="0.35">
      <c r="A42" s="1" t="s">
        <v>34</v>
      </c>
      <c r="B42" s="1">
        <v>1597</v>
      </c>
      <c r="C42" s="1">
        <v>19164</v>
      </c>
      <c r="D42" s="1">
        <v>1065</v>
      </c>
      <c r="E42" s="1">
        <v>31944</v>
      </c>
      <c r="F42" s="1">
        <v>31651</v>
      </c>
      <c r="G42" s="1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Oberoi</dc:creator>
  <cp:lastModifiedBy>Riddhi Oberoi</cp:lastModifiedBy>
  <dcterms:created xsi:type="dcterms:W3CDTF">2026-01-21T05:12:42Z</dcterms:created>
  <dcterms:modified xsi:type="dcterms:W3CDTF">2026-01-21T05:13:49Z</dcterms:modified>
</cp:coreProperties>
</file>