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AEE6B8D4-9695-4499-ADEA-22D29B262F9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mployee data" sheetId="2" r:id="rId1"/>
    <sheet name="Salary Sli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D18" i="2" l="1"/>
  <c r="D19" i="2"/>
  <c r="D20" i="2"/>
  <c r="D21" i="2"/>
  <c r="D22" i="2"/>
  <c r="D23" i="2"/>
  <c r="F16" i="1" l="1"/>
  <c r="C15" i="1"/>
  <c r="C18" i="1"/>
  <c r="D24" i="2"/>
  <c r="D26" i="2" s="1"/>
  <c r="C17" i="1"/>
  <c r="C19" i="1"/>
  <c r="C14" i="1"/>
  <c r="C21" i="1" l="1"/>
  <c r="F21" i="1"/>
  <c r="C16" i="1"/>
  <c r="F23" i="1" l="1"/>
  <c r="E10" i="1"/>
  <c r="E9" i="1" l="1"/>
  <c r="E8" i="1"/>
  <c r="C11" i="1"/>
  <c r="C10" i="1"/>
  <c r="C9" i="1"/>
  <c r="C7" i="1"/>
  <c r="C6" i="1"/>
</calcChain>
</file>

<file path=xl/sharedStrings.xml><?xml version="1.0" encoding="utf-8"?>
<sst xmlns="http://schemas.openxmlformats.org/spreadsheetml/2006/main" count="56" uniqueCount="41">
  <si>
    <t>FC TECNRGY PRIVATE LIMITED</t>
  </si>
  <si>
    <t>Employee Code</t>
  </si>
  <si>
    <t>Bank Name</t>
  </si>
  <si>
    <t>Designation</t>
  </si>
  <si>
    <t>Bank A/C No</t>
  </si>
  <si>
    <t>Department</t>
  </si>
  <si>
    <t>Location</t>
  </si>
  <si>
    <t>Date of Joining</t>
  </si>
  <si>
    <t>PAN No</t>
  </si>
  <si>
    <t>EARNINGS</t>
  </si>
  <si>
    <t>DEDUCTION</t>
  </si>
  <si>
    <t>HRA</t>
  </si>
  <si>
    <t xml:space="preserve">TDS </t>
  </si>
  <si>
    <t>Medical Allowance</t>
  </si>
  <si>
    <t>Advance</t>
  </si>
  <si>
    <t>Total Earnings</t>
  </si>
  <si>
    <t>Total Deductions</t>
  </si>
  <si>
    <t>Net Pay</t>
  </si>
  <si>
    <t>Month</t>
  </si>
  <si>
    <t>Name of employee</t>
  </si>
  <si>
    <t>Account transfer</t>
  </si>
  <si>
    <t>Employee Name</t>
  </si>
  <si>
    <t xml:space="preserve">PAY SLIP </t>
  </si>
  <si>
    <t>Basis Detail</t>
  </si>
  <si>
    <t>DA</t>
  </si>
  <si>
    <t>Travelling Allowance</t>
  </si>
  <si>
    <t>Communication Allowance</t>
  </si>
  <si>
    <t>Insurance Premium</t>
  </si>
  <si>
    <t>Salary</t>
  </si>
  <si>
    <t>Basic</t>
  </si>
  <si>
    <t>conveyance</t>
  </si>
  <si>
    <t>Communication</t>
  </si>
  <si>
    <t>Medical</t>
  </si>
  <si>
    <t xml:space="preserve">Telefax- 0124-4263166, Email- info@fctecnrgy.com
www.fctecnrgy.com  </t>
  </si>
  <si>
    <t>Other deduction</t>
  </si>
  <si>
    <t>Mode of Payment</t>
  </si>
  <si>
    <t>This is Computer generated advice &amp; doesn't required a Signature.</t>
  </si>
  <si>
    <t>Total Days</t>
  </si>
  <si>
    <t>EPF</t>
  </si>
  <si>
    <t>Plot no-45, Udyog Vihar- IV, Gurgaon - 122015 Haryana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</si>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</sst>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409]d\-mmm\-yy;@"/>
    <numFmt numFmtId="166" formatCode="_ * #,##0_ ;_ * \-#,##0_ ;_ * &quot;-&quot;??_ ;_ @_ 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Tenorite"/>
    </font>
    <font>
      <b/>
      <sz val="11"/>
      <name val="Tenorite"/>
    </font>
    <font>
      <sz val="11"/>
      <name val="Tenorite"/>
    </font>
    <font>
      <b/>
      <sz val="11"/>
      <color rgb="FFFF0000"/>
      <name val="Tenorite"/>
    </font>
    <font>
      <sz val="12"/>
      <color theme="1"/>
      <name val="Tenorite"/>
    </font>
    <font>
      <sz val="12"/>
      <name val="Tenorite"/>
    </font>
    <font>
      <sz val="11"/>
      <color theme="1"/>
      <name val="Calibri"/>
      <family val="2"/>
      <scheme val="minor"/>
    </font>
    <font>
      <b/>
      <sz val="12"/>
      <name val="Tenorite"/>
    </font>
    <font>
      <b/>
      <sz val="14"/>
      <name val="Tenorite"/>
    </font>
    <font>
      <sz val="12"/>
      <color theme="10"/>
      <name val="Tenorite"/>
    </font>
    <font>
      <b/>
      <sz val="16"/>
      <color theme="1"/>
      <name val="Tenorite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5" tint="-0.499984740745262"/>
      </left>
      <right/>
      <top style="double">
        <color theme="5" tint="-0.499984740745262"/>
      </top>
      <bottom/>
      <diagonal/>
    </border>
    <border>
      <left/>
      <right/>
      <top style="double">
        <color theme="5" tint="-0.499984740745262"/>
      </top>
      <bottom/>
      <diagonal/>
    </border>
    <border>
      <left/>
      <right style="double">
        <color theme="5" tint="-0.499984740745262"/>
      </right>
      <top style="double">
        <color theme="5" tint="-0.499984740745262"/>
      </top>
      <bottom/>
      <diagonal/>
    </border>
    <border>
      <left style="double">
        <color theme="5" tint="-0.499984740745262"/>
      </left>
      <right/>
      <top/>
      <bottom/>
      <diagonal/>
    </border>
    <border>
      <left/>
      <right style="double">
        <color theme="5" tint="-0.499984740745262"/>
      </right>
      <top/>
      <bottom/>
      <diagonal/>
    </border>
    <border>
      <left style="double">
        <color theme="5" tint="-0.499984740745262"/>
      </left>
      <right/>
      <top/>
      <bottom style="double">
        <color theme="5" tint="-0.499984740745262"/>
      </bottom>
      <diagonal/>
    </border>
    <border>
      <left/>
      <right/>
      <top/>
      <bottom style="double">
        <color theme="5" tint="-0.499984740745262"/>
      </bottom>
      <diagonal/>
    </border>
    <border>
      <left/>
      <right style="double">
        <color theme="5" tint="-0.499984740745262"/>
      </right>
      <top/>
      <bottom style="double">
        <color theme="5" tint="-0.499984740745262"/>
      </bottom>
      <diagonal/>
    </border>
    <border>
      <left/>
      <right/>
      <top style="double">
        <color theme="7" tint="-0.24994659260841701"/>
      </top>
      <bottom/>
      <diagonal/>
    </border>
    <border>
      <left style="double">
        <color theme="7" tint="-0.24994659260841701"/>
      </left>
      <right/>
      <top style="double">
        <color theme="7" tint="-0.24994659260841701"/>
      </top>
      <bottom style="double">
        <color theme="7" tint="-0.24994659260841701"/>
      </bottom>
      <diagonal/>
    </border>
    <border>
      <left/>
      <right/>
      <top style="double">
        <color theme="7" tint="-0.24994659260841701"/>
      </top>
      <bottom style="double">
        <color theme="7" tint="-0.24994659260841701"/>
      </bottom>
      <diagonal/>
    </border>
    <border>
      <left/>
      <right style="double">
        <color theme="7" tint="-0.24994659260841701"/>
      </right>
      <top style="double">
        <color theme="7" tint="-0.24994659260841701"/>
      </top>
      <bottom style="double">
        <color theme="7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7" fillId="0" borderId="0" applyFont="0" applyFill="0" applyBorder="0" applyAlignment="0" applyProtection="0"/>
  </cellStyleXfs>
  <cellXfs count="73">
    <xf numFmtId="0" fontId="0" fillId="0" borderId="0" xfId="0"/>
    <xf numFmtId="0" fontId="25" fillId="0" borderId="0" xfId="0" applyFont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17" fontId="25" fillId="25" borderId="32" xfId="0" applyNumberFormat="1" applyFont="1" applyFill="1" applyBorder="1" applyAlignment="1">
      <alignment horizontal="center" vertical="center"/>
    </xf>
    <xf numFmtId="0" fontId="25" fillId="25" borderId="32" xfId="0" applyFont="1" applyFill="1" applyBorder="1" applyAlignment="1">
      <alignment horizontal="center" vertical="center"/>
    </xf>
    <xf numFmtId="0" fontId="26" fillId="0" borderId="32" xfId="1" applyFont="1" applyBorder="1" applyAlignment="1">
      <alignment horizontal="center" vertical="center"/>
    </xf>
    <xf numFmtId="0" fontId="25" fillId="25" borderId="32" xfId="0" quotePrefix="1" applyFont="1" applyFill="1" applyBorder="1" applyAlignment="1">
      <alignment horizontal="center" vertical="center"/>
    </xf>
    <xf numFmtId="2" fontId="26" fillId="25" borderId="32" xfId="1" applyNumberFormat="1" applyFont="1" applyFill="1" applyBorder="1" applyAlignment="1">
      <alignment horizontal="center" vertical="center"/>
    </xf>
    <xf numFmtId="0" fontId="26" fillId="25" borderId="32" xfId="1" applyFont="1" applyFill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9" fontId="25" fillId="0" borderId="32" xfId="0" applyNumberFormat="1" applyFont="1" applyBorder="1" applyAlignment="1">
      <alignment horizontal="center" vertical="center"/>
    </xf>
    <xf numFmtId="166" fontId="25" fillId="0" borderId="32" xfId="44" applyNumberFormat="1" applyFont="1" applyBorder="1" applyAlignment="1">
      <alignment horizontal="center" vertical="center"/>
    </xf>
    <xf numFmtId="0" fontId="23" fillId="24" borderId="20" xfId="1" applyFont="1" applyFill="1" applyBorder="1" applyAlignment="1">
      <alignment vertical="center"/>
    </xf>
    <xf numFmtId="0" fontId="23" fillId="24" borderId="21" xfId="1" applyFont="1" applyFill="1" applyBorder="1" applyAlignment="1">
      <alignment vertical="center"/>
    </xf>
    <xf numFmtId="0" fontId="23" fillId="24" borderId="21" xfId="1" applyFont="1" applyFill="1" applyBorder="1" applyAlignment="1">
      <alignment horizontal="center" vertical="center"/>
    </xf>
    <xf numFmtId="0" fontId="23" fillId="24" borderId="22" xfId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3" fillId="24" borderId="23" xfId="1" applyFont="1" applyFill="1" applyBorder="1" applyAlignment="1">
      <alignment vertical="center"/>
    </xf>
    <xf numFmtId="0" fontId="23" fillId="24" borderId="24" xfId="1" applyFont="1" applyFill="1" applyBorder="1" applyAlignment="1">
      <alignment vertical="center"/>
    </xf>
    <xf numFmtId="0" fontId="23" fillId="0" borderId="10" xfId="1" applyFont="1" applyBorder="1" applyAlignment="1">
      <alignment vertical="center"/>
    </xf>
    <xf numFmtId="0" fontId="23" fillId="0" borderId="1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23" fillId="0" borderId="12" xfId="1" applyFont="1" applyBorder="1" applyAlignment="1">
      <alignment vertical="center"/>
    </xf>
    <xf numFmtId="0" fontId="23" fillId="0" borderId="13" xfId="1" applyFont="1" applyBorder="1" applyAlignment="1">
      <alignment horizontal="center" vertical="center"/>
    </xf>
    <xf numFmtId="0" fontId="23" fillId="0" borderId="14" xfId="1" applyFont="1" applyBorder="1" applyAlignment="1">
      <alignment vertical="center"/>
    </xf>
    <xf numFmtId="165" fontId="23" fillId="0" borderId="15" xfId="1" applyNumberFormat="1" applyFont="1" applyBorder="1" applyAlignment="1">
      <alignment horizontal="center" vertical="center"/>
    </xf>
    <xf numFmtId="0" fontId="23" fillId="0" borderId="18" xfId="1" applyFont="1" applyBorder="1" applyAlignment="1">
      <alignment vertical="center"/>
    </xf>
    <xf numFmtId="166" fontId="23" fillId="0" borderId="11" xfId="44" applyNumberFormat="1" applyFont="1" applyBorder="1" applyAlignment="1">
      <alignment horizontal="center" vertical="center"/>
    </xf>
    <xf numFmtId="2" fontId="21" fillId="0" borderId="0" xfId="0" applyNumberFormat="1" applyFont="1" applyAlignment="1">
      <alignment vertical="center"/>
    </xf>
    <xf numFmtId="166" fontId="23" fillId="0" borderId="13" xfId="44" applyNumberFormat="1" applyFont="1" applyBorder="1" applyAlignment="1">
      <alignment horizontal="center" vertical="center"/>
    </xf>
    <xf numFmtId="0" fontId="24" fillId="24" borderId="23" xfId="1" applyFont="1" applyFill="1" applyBorder="1" applyAlignment="1">
      <alignment vertical="center"/>
    </xf>
    <xf numFmtId="0" fontId="22" fillId="0" borderId="16" xfId="1" applyFont="1" applyBorder="1" applyAlignment="1">
      <alignment vertical="center"/>
    </xf>
    <xf numFmtId="166" fontId="22" fillId="0" borderId="17" xfId="44" applyNumberFormat="1" applyFont="1" applyBorder="1" applyAlignment="1">
      <alignment horizontal="center" vertical="center"/>
    </xf>
    <xf numFmtId="0" fontId="24" fillId="24" borderId="24" xfId="1" applyFont="1" applyFill="1" applyBorder="1" applyAlignment="1">
      <alignment vertical="center"/>
    </xf>
    <xf numFmtId="0" fontId="23" fillId="24" borderId="0" xfId="1" applyFont="1" applyFill="1" applyAlignment="1">
      <alignment vertical="center"/>
    </xf>
    <xf numFmtId="0" fontId="23" fillId="24" borderId="0" xfId="1" applyFont="1" applyFill="1" applyAlignment="1">
      <alignment horizontal="center" vertical="center"/>
    </xf>
    <xf numFmtId="0" fontId="22" fillId="24" borderId="16" xfId="1" applyFont="1" applyFill="1" applyBorder="1" applyAlignment="1">
      <alignment vertical="center"/>
    </xf>
    <xf numFmtId="0" fontId="22" fillId="24" borderId="19" xfId="1" applyFont="1" applyFill="1" applyBorder="1" applyAlignment="1">
      <alignment horizontal="center" vertical="center"/>
    </xf>
    <xf numFmtId="0" fontId="22" fillId="24" borderId="19" xfId="1" applyFont="1" applyFill="1" applyBorder="1" applyAlignment="1">
      <alignment vertical="center"/>
    </xf>
    <xf numFmtId="0" fontId="23" fillId="24" borderId="25" xfId="1" applyFont="1" applyFill="1" applyBorder="1" applyAlignment="1">
      <alignment vertical="center"/>
    </xf>
    <xf numFmtId="0" fontId="23" fillId="24" borderId="26" xfId="1" applyFont="1" applyFill="1" applyBorder="1" applyAlignment="1">
      <alignment vertical="center"/>
    </xf>
    <xf numFmtId="0" fontId="23" fillId="24" borderId="26" xfId="1" applyFont="1" applyFill="1" applyBorder="1" applyAlignment="1">
      <alignment horizontal="center" vertical="center"/>
    </xf>
    <xf numFmtId="0" fontId="23" fillId="24" borderId="27" xfId="1" applyFont="1" applyFill="1" applyBorder="1" applyAlignment="1">
      <alignment vertical="center"/>
    </xf>
    <xf numFmtId="1" fontId="25" fillId="25" borderId="32" xfId="0" quotePrefix="1" applyNumberFormat="1" applyFont="1" applyFill="1" applyBorder="1" applyAlignment="1">
      <alignment horizontal="center" vertical="center"/>
    </xf>
    <xf numFmtId="166" fontId="22" fillId="24" borderId="17" xfId="44" applyNumberFormat="1" applyFont="1" applyFill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23" fillId="0" borderId="18" xfId="1" applyFont="1" applyBorder="1" applyAlignment="1">
      <alignment horizontal="center" vertical="center"/>
    </xf>
    <xf numFmtId="0" fontId="23" fillId="0" borderId="15" xfId="1" applyFont="1" applyBorder="1" applyAlignment="1">
      <alignment horizontal="center" vertical="center"/>
    </xf>
    <xf numFmtId="0" fontId="29" fillId="24" borderId="29" xfId="1" applyFont="1" applyFill="1" applyBorder="1" applyAlignment="1">
      <alignment horizontal="center" vertical="center"/>
    </xf>
    <xf numFmtId="0" fontId="29" fillId="24" borderId="30" xfId="1" applyFont="1" applyFill="1" applyBorder="1" applyAlignment="1">
      <alignment horizontal="center" vertical="center"/>
    </xf>
    <xf numFmtId="0" fontId="29" fillId="24" borderId="31" xfId="1" applyFont="1" applyFill="1" applyBorder="1" applyAlignment="1">
      <alignment horizontal="center" vertical="center"/>
    </xf>
    <xf numFmtId="0" fontId="26" fillId="24" borderId="28" xfId="1" applyFont="1" applyFill="1" applyBorder="1" applyAlignment="1">
      <alignment horizontal="center" vertical="center"/>
    </xf>
    <xf numFmtId="0" fontId="28" fillId="24" borderId="32" xfId="1" applyFont="1" applyFill="1" applyBorder="1" applyAlignment="1">
      <alignment horizontal="center" vertical="center"/>
    </xf>
    <xf numFmtId="14" fontId="21" fillId="0" borderId="35" xfId="0" applyNumberFormat="1" applyFont="1" applyBorder="1" applyAlignment="1">
      <alignment horizontal="center" vertical="center"/>
    </xf>
    <xf numFmtId="14" fontId="21" fillId="0" borderId="11" xfId="0" applyNumberFormat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13" xfId="1" applyFont="1" applyBorder="1" applyAlignment="1">
      <alignment horizontal="center" vertical="center"/>
    </xf>
    <xf numFmtId="1" fontId="23" fillId="0" borderId="0" xfId="1" applyNumberFormat="1" applyFont="1" applyAlignment="1">
      <alignment horizontal="center" vertical="center"/>
    </xf>
    <xf numFmtId="1" fontId="23" fillId="0" borderId="13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30" fillId="24" borderId="18" xfId="43" applyFont="1" applyFill="1" applyBorder="1" applyAlignment="1" applyProtection="1">
      <alignment horizontal="center" vertical="center" wrapText="1"/>
      <protection locked="0"/>
    </xf>
    <xf numFmtId="0" fontId="26" fillId="24" borderId="18" xfId="1" applyFont="1" applyFill="1" applyBorder="1" applyAlignment="1" applyProtection="1">
      <alignment horizontal="center" vertical="center"/>
      <protection locked="0"/>
    </xf>
    <xf numFmtId="0" fontId="23" fillId="24" borderId="0" xfId="1" applyFont="1" applyFill="1" applyAlignment="1">
      <alignment horizontal="left" vertical="center"/>
    </xf>
    <xf numFmtId="0" fontId="22" fillId="0" borderId="16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2" fillId="0" borderId="19" xfId="1" applyFont="1" applyBorder="1" applyAlignment="1">
      <alignment horizontal="left" vertical="center"/>
    </xf>
    <xf numFmtId="0" fontId="23" fillId="24" borderId="0" xfId="1" applyFont="1" applyFill="1" applyAlignment="1">
      <alignment horizontal="center" vertical="center"/>
    </xf>
    <xf numFmtId="166" fontId="25" fillId="25" borderId="34" xfId="44" applyNumberFormat="1" applyFont="1" applyFill="1" applyBorder="1" applyAlignment="1">
      <alignment horizontal="center" vertical="center"/>
    </xf>
  </cellXfs>
  <cellStyles count="45">
    <cellStyle name="20% - Accent1 2" xfId="2" xr:uid="{72FAC099-F61F-4A1C-B228-75419189D0C9}"/>
    <cellStyle name="20% - Accent2 2" xfId="3" xr:uid="{B115A9ED-C04F-4FEA-B3D2-B6BDF1D40B32}"/>
    <cellStyle name="20% - Accent3 2" xfId="4" xr:uid="{CB4417F7-0108-48F0-93C6-73325E222359}"/>
    <cellStyle name="20% - Accent4 2" xfId="5" xr:uid="{3F932D3A-8538-4A62-BB12-8D965C88BB5A}"/>
    <cellStyle name="20% - Accent5 2" xfId="6" xr:uid="{464291CC-E4A4-441D-8B74-C8738AD54154}"/>
    <cellStyle name="20% - Accent6 2" xfId="7" xr:uid="{F62B111C-6DCA-4160-A859-7E1FFB167E85}"/>
    <cellStyle name="40% - Accent1 2" xfId="8" xr:uid="{7FE58253-3889-469B-B971-35D830BC2CFA}"/>
    <cellStyle name="40% - Accent2 2" xfId="9" xr:uid="{F2BC10D4-4227-4F43-BE32-156B622828B4}"/>
    <cellStyle name="40% - Accent3 2" xfId="10" xr:uid="{EFE83A25-F288-4722-B926-81071365457F}"/>
    <cellStyle name="40% - Accent4 2" xfId="11" xr:uid="{78148501-291E-468C-A662-511F8FB31DEC}"/>
    <cellStyle name="40% - Accent5 2" xfId="12" xr:uid="{419B57FD-C85D-4C5D-9D1D-881CD039E072}"/>
    <cellStyle name="40% - Accent6 2" xfId="13" xr:uid="{D3A4E6A4-5FE4-4046-9411-E33934E9C56F}"/>
    <cellStyle name="60% - Accent1 2" xfId="14" xr:uid="{3AD71428-72E0-40BA-972E-F91B05AC552A}"/>
    <cellStyle name="60% - Accent2 2" xfId="15" xr:uid="{02AF652F-025C-432A-B88D-E3E9902AEB9D}"/>
    <cellStyle name="60% - Accent3 2" xfId="16" xr:uid="{CE76BE98-CD5A-459D-92EB-256EE0CA0A6D}"/>
    <cellStyle name="60% - Accent4 2" xfId="17" xr:uid="{F14EE605-EF1D-4A53-89C9-F34B68C4B2E0}"/>
    <cellStyle name="60% - Accent5 2" xfId="18" xr:uid="{9C0C768C-B66C-4B78-B49F-771DBEC17B8A}"/>
    <cellStyle name="60% - Accent6 2" xfId="19" xr:uid="{2D6D6487-02AA-4D41-B722-37FD32F1934C}"/>
    <cellStyle name="Accent1 2" xfId="20" xr:uid="{62CF407B-6968-4FBA-8936-C713C1F63D2B}"/>
    <cellStyle name="Accent2 2" xfId="21" xr:uid="{23C3C547-F190-4422-9E71-034EEAC26D7A}"/>
    <cellStyle name="Accent3 2" xfId="22" xr:uid="{6146BDA3-FDA4-4E71-BAB4-00C8007B7232}"/>
    <cellStyle name="Accent4 2" xfId="23" xr:uid="{7688201E-A0A4-4682-BA0E-9857B659F00E}"/>
    <cellStyle name="Accent5 2" xfId="24" xr:uid="{0E06F74A-F8F7-4902-AE4B-325655684240}"/>
    <cellStyle name="Accent6 2" xfId="25" xr:uid="{A282FB6B-17B9-4079-8AEB-153D7CA92E74}"/>
    <cellStyle name="Bad 2" xfId="26" xr:uid="{C9FFE11A-EB3C-4357-A17C-805592EB6AF6}"/>
    <cellStyle name="Calculation 2" xfId="27" xr:uid="{006B8D4C-0FE9-49FB-85EB-C2291FC3B41B}"/>
    <cellStyle name="Check Cell 2" xfId="28" xr:uid="{C8CEFE67-5630-4FAA-9AA8-F9A3A57B3DBE}"/>
    <cellStyle name="Comma" xfId="44" builtinId="3"/>
    <cellStyle name="Explanatory Text 2" xfId="29" xr:uid="{46ECE315-BDC4-4781-A79D-7EFED2E2BBEC}"/>
    <cellStyle name="Good 2" xfId="30" xr:uid="{DF1F091B-CA77-46D0-82D6-0AC48F718ADE}"/>
    <cellStyle name="Heading 1 2" xfId="31" xr:uid="{95A47FD1-5D87-4483-9A5E-9466A94BBBEF}"/>
    <cellStyle name="Heading 2 2" xfId="32" xr:uid="{B6744D9A-DE24-4FB8-8F15-22832853CCCF}"/>
    <cellStyle name="Heading 3 2" xfId="33" xr:uid="{8E8CBC91-2830-4950-9B67-96234FA49174}"/>
    <cellStyle name="Heading 4 2" xfId="34" xr:uid="{3012701E-1EB5-4C38-9401-104A6168200D}"/>
    <cellStyle name="Hyperlink" xfId="43" builtinId="8"/>
    <cellStyle name="Input 2" xfId="35" xr:uid="{CE8BE94E-5DB7-4A50-A493-6F93B85BB1FE}"/>
    <cellStyle name="Linked Cell 2" xfId="36" xr:uid="{75D1C03B-2A99-477D-99F8-0B383F513C04}"/>
    <cellStyle name="Neutral 2" xfId="37" xr:uid="{0C3E477C-16D1-41EC-8273-6B44129DBB13}"/>
    <cellStyle name="Normal" xfId="0" builtinId="0"/>
    <cellStyle name="Normal 2" xfId="1" xr:uid="{06957783-DA9D-4FF5-9880-7E7F84BC24AC}"/>
    <cellStyle name="Note 2" xfId="38" xr:uid="{C64B2EF0-7424-4AFF-9D8C-69A5D0D6D14A}"/>
    <cellStyle name="Output 2" xfId="39" xr:uid="{CDA505EB-7654-4821-A0F3-E144211D7736}"/>
    <cellStyle name="Title 2" xfId="40" xr:uid="{FF6999C9-7CA3-4C86-AB53-6CEBBDD49A9C}"/>
    <cellStyle name="Total 2" xfId="41" xr:uid="{C4FC9251-C3B7-4EAA-8CC0-1C7F57EF51BE}"/>
    <cellStyle name="Warning Text 2" xfId="42" xr:uid="{161F1B0E-0881-42BF-8EA2-CD89B549D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ctecnrg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373B-3C79-4455-B9E2-C93F7D8FC640}">
  <dimension ref="B1:D26"/>
  <sheetViews>
    <sheetView workbookViewId="0">
      <selection activeCell="F3" sqref="F3"/>
    </sheetView>
  </sheetViews>
  <sheetFormatPr defaultColWidth="11.54296875" defaultRowHeight="30.75" customHeight="1" x14ac:dyDescent="0.35"/>
  <cols>
    <col min="1" max="1" width="11.54296875" style="1"/>
    <col min="2" max="2" width="19.81640625" style="1" bestFit="1" customWidth="1"/>
    <col min="3" max="3" width="41.453125" style="1" bestFit="1" customWidth="1"/>
    <col min="4" max="4" width="21.54296875" style="1" customWidth="1"/>
    <col min="5" max="16384" width="11.54296875" style="1"/>
  </cols>
  <sheetData>
    <row r="1" spans="2:3" ht="30.75" customHeight="1" x14ac:dyDescent="0.35">
      <c r="B1" s="46" t="s">
        <v>23</v>
      </c>
      <c r="C1" s="46"/>
    </row>
    <row r="2" spans="2:3" ht="30.75" customHeight="1" x14ac:dyDescent="0.35">
      <c r="B2" s="2" t="s">
        <v>18</v>
      </c>
      <c r="C2" s="3"/>
    </row>
    <row r="3" spans="2:3" ht="30.75" customHeight="1" x14ac:dyDescent="0.35">
      <c r="B3" s="2" t="s">
        <v>19</v>
      </c>
      <c r="C3" s="4"/>
    </row>
    <row r="4" spans="2:3" ht="30.75" customHeight="1" x14ac:dyDescent="0.35">
      <c r="B4" s="5" t="s">
        <v>1</v>
      </c>
      <c r="C4" s="6"/>
    </row>
    <row r="5" spans="2:3" ht="30.75" customHeight="1" x14ac:dyDescent="0.35">
      <c r="B5" s="5" t="s">
        <v>3</v>
      </c>
      <c r="C5" s="4"/>
    </row>
    <row r="6" spans="2:3" ht="30.75" customHeight="1" x14ac:dyDescent="0.35">
      <c r="B6" s="5" t="s">
        <v>5</v>
      </c>
      <c r="C6" s="4"/>
    </row>
    <row r="7" spans="2:3" ht="30.75" customHeight="1" x14ac:dyDescent="0.35">
      <c r="B7" s="5" t="s">
        <v>6</v>
      </c>
      <c r="C7" s="4"/>
    </row>
    <row r="8" spans="2:3" ht="30.75" customHeight="1" x14ac:dyDescent="0.35">
      <c r="B8" s="5" t="s">
        <v>7</v>
      </c>
      <c r="C8" s="3"/>
    </row>
    <row r="9" spans="2:3" ht="30.75" customHeight="1" x14ac:dyDescent="0.35">
      <c r="B9" s="5" t="s">
        <v>2</v>
      </c>
      <c r="C9" s="4"/>
    </row>
    <row r="10" spans="2:3" ht="30.75" customHeight="1" x14ac:dyDescent="0.35">
      <c r="B10" s="5" t="s">
        <v>4</v>
      </c>
      <c r="C10" s="43"/>
    </row>
    <row r="11" spans="2:3" ht="30.75" customHeight="1" x14ac:dyDescent="0.35">
      <c r="B11" s="5" t="s">
        <v>8</v>
      </c>
      <c r="C11" s="4"/>
    </row>
    <row r="12" spans="2:3" ht="30.75" customHeight="1" x14ac:dyDescent="0.35">
      <c r="B12" s="5" t="s">
        <v>27</v>
      </c>
      <c r="C12" s="7"/>
    </row>
    <row r="13" spans="2:3" ht="30.75" customHeight="1" x14ac:dyDescent="0.35">
      <c r="B13" s="5" t="s">
        <v>12</v>
      </c>
      <c r="C13" s="8">
        <v>0</v>
      </c>
    </row>
    <row r="14" spans="2:3" ht="30.75" customHeight="1" x14ac:dyDescent="0.35">
      <c r="B14" s="5" t="s">
        <v>14</v>
      </c>
      <c r="C14" s="8">
        <v>0</v>
      </c>
    </row>
    <row r="15" spans="2:3" ht="30.75" customHeight="1" thickBot="1" x14ac:dyDescent="0.4"/>
    <row r="16" spans="2:3" ht="30.75" customHeight="1" thickBot="1" x14ac:dyDescent="0.4">
      <c r="B16" s="9" t="s">
        <v>28</v>
      </c>
      <c r="C16" s="72">
        <v>100000</v>
      </c>
    </row>
    <row r="18" spans="2:4" ht="30.75" customHeight="1" x14ac:dyDescent="0.35">
      <c r="B18" s="2" t="s">
        <v>29</v>
      </c>
      <c r="C18" s="10">
        <v>0.35</v>
      </c>
      <c r="D18" s="11">
        <f>+$C$16*C18</f>
        <v>35000</v>
      </c>
    </row>
    <row r="19" spans="2:4" ht="30.75" customHeight="1" x14ac:dyDescent="0.35">
      <c r="B19" s="2" t="s">
        <v>11</v>
      </c>
      <c r="C19" s="10">
        <v>0.19</v>
      </c>
      <c r="D19" s="11">
        <f t="shared" ref="D19:D23" si="0">+$C$16*C19</f>
        <v>19000</v>
      </c>
    </row>
    <row r="20" spans="2:4" ht="30.75" customHeight="1" x14ac:dyDescent="0.35">
      <c r="B20" s="2" t="s">
        <v>30</v>
      </c>
      <c r="C20" s="10">
        <v>0.04</v>
      </c>
      <c r="D20" s="11">
        <f t="shared" si="0"/>
        <v>4000</v>
      </c>
    </row>
    <row r="21" spans="2:4" ht="30.75" customHeight="1" x14ac:dyDescent="0.35">
      <c r="B21" s="2" t="s">
        <v>24</v>
      </c>
      <c r="C21" s="10">
        <v>0.33</v>
      </c>
      <c r="D21" s="11">
        <f t="shared" si="0"/>
        <v>33000</v>
      </c>
    </row>
    <row r="22" spans="2:4" ht="30.75" customHeight="1" x14ac:dyDescent="0.35">
      <c r="B22" s="2" t="s">
        <v>31</v>
      </c>
      <c r="C22" s="10">
        <v>0.03</v>
      </c>
      <c r="D22" s="11">
        <f t="shared" si="0"/>
        <v>3000</v>
      </c>
    </row>
    <row r="23" spans="2:4" ht="30.75" customHeight="1" x14ac:dyDescent="0.35">
      <c r="B23" s="2" t="s">
        <v>32</v>
      </c>
      <c r="C23" s="10">
        <v>0.06</v>
      </c>
      <c r="D23" s="11">
        <f t="shared" si="0"/>
        <v>6000</v>
      </c>
    </row>
    <row r="24" spans="2:4" ht="30.75" customHeight="1" x14ac:dyDescent="0.35">
      <c r="D24" s="11">
        <f>SUM(D18:D23)</f>
        <v>100000</v>
      </c>
    </row>
    <row r="26" spans="2:4" ht="30.75" customHeight="1" x14ac:dyDescent="0.35">
      <c r="D26" s="1">
        <f>+C16-D24</f>
        <v>0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A6" zoomScaleNormal="100" workbookViewId="0">
      <selection activeCell="I13" sqref="I13"/>
    </sheetView>
  </sheetViews>
  <sheetFormatPr defaultColWidth="9.1796875" defaultRowHeight="14" x14ac:dyDescent="0.35"/>
  <cols>
    <col min="1" max="1" width="2.54296875" style="16" customWidth="1"/>
    <col min="2" max="2" width="26.453125" style="16" bestFit="1" customWidth="1"/>
    <col min="3" max="3" width="32.81640625" style="16" bestFit="1" customWidth="1"/>
    <col min="4" max="4" width="17.7265625" style="16" bestFit="1" customWidth="1"/>
    <col min="5" max="5" width="15.1796875" style="16" customWidth="1"/>
    <col min="6" max="6" width="14" style="16" customWidth="1"/>
    <col min="7" max="7" width="1.54296875" style="16" customWidth="1"/>
    <col min="8" max="16384" width="9.1796875" style="16"/>
  </cols>
  <sheetData>
    <row r="1" spans="1:15" ht="26.25" customHeight="1" thickTop="1" thickBot="1" x14ac:dyDescent="0.4">
      <c r="A1" s="12"/>
      <c r="B1" s="13"/>
      <c r="C1" s="14"/>
      <c r="D1" s="13"/>
      <c r="E1" s="14"/>
      <c r="F1" s="13"/>
      <c r="G1" s="15"/>
    </row>
    <row r="2" spans="1:15" ht="26.25" customHeight="1" thickTop="1" thickBot="1" x14ac:dyDescent="0.4">
      <c r="A2" s="17"/>
      <c r="B2" s="49" t="s">
        <v>0</v>
      </c>
      <c r="C2" s="50"/>
      <c r="D2" s="50"/>
      <c r="E2" s="50"/>
      <c r="F2" s="51"/>
      <c r="G2" s="18"/>
    </row>
    <row r="3" spans="1:15" ht="26.25" customHeight="1" thickTop="1" x14ac:dyDescent="0.35">
      <c r="A3" s="17"/>
      <c r="B3" s="52" t="s">
        <v>39</v>
      </c>
      <c r="C3" s="52"/>
      <c r="D3" s="52"/>
      <c r="E3" s="52"/>
      <c r="F3" s="52"/>
      <c r="G3" s="18"/>
    </row>
    <row r="4" spans="1:15" ht="30.75" customHeight="1" x14ac:dyDescent="0.35">
      <c r="A4" s="17"/>
      <c r="B4" s="62" t="s">
        <v>33</v>
      </c>
      <c r="C4" s="63"/>
      <c r="D4" s="63"/>
      <c r="E4" s="63"/>
      <c r="F4" s="63"/>
      <c r="G4" s="18"/>
    </row>
    <row r="5" spans="1:15" ht="15.5" x14ac:dyDescent="0.35">
      <c r="A5" s="17"/>
      <c r="B5" s="53" t="s">
        <v>22</v>
      </c>
      <c r="C5" s="53"/>
      <c r="D5" s="53"/>
      <c r="E5" s="53"/>
      <c r="F5" s="53"/>
      <c r="G5" s="18"/>
    </row>
    <row r="6" spans="1:15" ht="18.75" customHeight="1" x14ac:dyDescent="0.35">
      <c r="A6" s="17"/>
      <c r="B6" s="19" t="s">
        <v>21</v>
      </c>
      <c r="C6" s="20">
        <f>+'Employee data'!C3</f>
        <v>0</v>
      </c>
      <c r="D6" s="16" t="s">
        <v>18</v>
      </c>
      <c r="E6" s="54"/>
      <c r="F6" s="55"/>
      <c r="G6" s="18"/>
    </row>
    <row r="7" spans="1:15" ht="18.75" customHeight="1" x14ac:dyDescent="0.35">
      <c r="A7" s="17"/>
      <c r="B7" s="22" t="s">
        <v>1</v>
      </c>
      <c r="C7" s="23">
        <f>+'Employee data'!C4</f>
        <v>0</v>
      </c>
      <c r="D7" s="16" t="s">
        <v>35</v>
      </c>
      <c r="E7" s="60" t="s">
        <v>20</v>
      </c>
      <c r="F7" s="61"/>
      <c r="G7" s="18"/>
    </row>
    <row r="8" spans="1:15" ht="18.75" customHeight="1" x14ac:dyDescent="0.35">
      <c r="A8" s="17"/>
      <c r="B8" s="22" t="s">
        <v>3</v>
      </c>
      <c r="C8" s="23">
        <f>+'Employee data'!C5</f>
        <v>0</v>
      </c>
      <c r="D8" s="21" t="s">
        <v>2</v>
      </c>
      <c r="E8" s="56">
        <f>+'Employee data'!C9</f>
        <v>0</v>
      </c>
      <c r="F8" s="57"/>
      <c r="G8" s="18"/>
    </row>
    <row r="9" spans="1:15" ht="18.75" customHeight="1" x14ac:dyDescent="0.35">
      <c r="A9" s="17"/>
      <c r="B9" s="22" t="s">
        <v>5</v>
      </c>
      <c r="C9" s="23">
        <f>+'Employee data'!C6</f>
        <v>0</v>
      </c>
      <c r="D9" s="21" t="s">
        <v>4</v>
      </c>
      <c r="E9" s="58">
        <f>+'Employee data'!C10</f>
        <v>0</v>
      </c>
      <c r="F9" s="59"/>
      <c r="G9" s="18"/>
    </row>
    <row r="10" spans="1:15" ht="18.75" customHeight="1" x14ac:dyDescent="0.35">
      <c r="A10" s="17"/>
      <c r="B10" s="22" t="s">
        <v>6</v>
      </c>
      <c r="C10" s="23">
        <f>+'Employee data'!C7</f>
        <v>0</v>
      </c>
      <c r="D10" s="21" t="s">
        <v>8</v>
      </c>
      <c r="E10" s="56">
        <f>+'Employee data'!C11</f>
        <v>0</v>
      </c>
      <c r="F10" s="57"/>
      <c r="G10" s="18"/>
    </row>
    <row r="11" spans="1:15" ht="18.75" customHeight="1" x14ac:dyDescent="0.35">
      <c r="A11" s="17"/>
      <c r="B11" s="24" t="s">
        <v>7</v>
      </c>
      <c r="C11" s="25">
        <f>+'Employee data'!C8</f>
        <v>0</v>
      </c>
      <c r="D11" s="26" t="s">
        <v>37</v>
      </c>
      <c r="E11" s="47"/>
      <c r="F11" s="48"/>
      <c r="G11" s="18"/>
    </row>
    <row r="12" spans="1:15" x14ac:dyDescent="0.35">
      <c r="A12" s="17"/>
      <c r="B12" s="21"/>
      <c r="C12" s="21"/>
      <c r="D12" s="21"/>
      <c r="E12" s="21"/>
      <c r="F12" s="21"/>
      <c r="G12" s="18"/>
    </row>
    <row r="13" spans="1:15" ht="20.25" customHeight="1" x14ac:dyDescent="0.35">
      <c r="A13" s="17"/>
      <c r="B13" s="65" t="s">
        <v>9</v>
      </c>
      <c r="C13" s="66"/>
      <c r="D13" s="67" t="s">
        <v>10</v>
      </c>
      <c r="E13" s="67"/>
      <c r="F13" s="68"/>
      <c r="G13" s="18"/>
    </row>
    <row r="14" spans="1:15" ht="19.5" customHeight="1" x14ac:dyDescent="0.35">
      <c r="A14" s="17"/>
      <c r="B14" s="19" t="s">
        <v>29</v>
      </c>
      <c r="C14" s="27">
        <f>+'Employee data'!D18</f>
        <v>35000</v>
      </c>
      <c r="D14" s="69" t="s">
        <v>27</v>
      </c>
      <c r="E14" s="69"/>
      <c r="F14" s="27">
        <v>192</v>
      </c>
      <c r="G14" s="18"/>
      <c r="O14" s="28"/>
    </row>
    <row r="15" spans="1:15" ht="19.5" customHeight="1" x14ac:dyDescent="0.35">
      <c r="A15" s="17"/>
      <c r="B15" s="22" t="s">
        <v>11</v>
      </c>
      <c r="C15" s="29">
        <f>+'Employee data'!D19</f>
        <v>19000</v>
      </c>
      <c r="D15" s="69" t="s">
        <v>12</v>
      </c>
      <c r="E15" s="69"/>
      <c r="F15" s="29">
        <v>0</v>
      </c>
      <c r="G15" s="18"/>
    </row>
    <row r="16" spans="1:15" ht="19.5" customHeight="1" x14ac:dyDescent="0.35">
      <c r="A16" s="17"/>
      <c r="B16" s="22" t="s">
        <v>25</v>
      </c>
      <c r="C16" s="29">
        <f>+'Employee data'!D20</f>
        <v>4000</v>
      </c>
      <c r="D16" s="69" t="s">
        <v>14</v>
      </c>
      <c r="E16" s="69"/>
      <c r="F16" s="29">
        <f>+'Employee data'!C14</f>
        <v>0</v>
      </c>
      <c r="G16" s="18"/>
    </row>
    <row r="17" spans="1:11" ht="19.5" customHeight="1" x14ac:dyDescent="0.35">
      <c r="A17" s="17"/>
      <c r="B17" s="22" t="s">
        <v>24</v>
      </c>
      <c r="C17" s="29">
        <f>+'Employee data'!D21</f>
        <v>33000</v>
      </c>
      <c r="D17" s="69" t="s">
        <v>34</v>
      </c>
      <c r="E17" s="69"/>
      <c r="F17" s="29">
        <v>0</v>
      </c>
      <c r="G17" s="18"/>
    </row>
    <row r="18" spans="1:11" ht="19.5" customHeight="1" x14ac:dyDescent="0.35">
      <c r="A18" s="17"/>
      <c r="B18" s="22" t="s">
        <v>26</v>
      </c>
      <c r="C18" s="29">
        <f>+'Employee data'!D22</f>
        <v>3000</v>
      </c>
      <c r="D18" s="69" t="s">
        <v>38</v>
      </c>
      <c r="E18" s="69"/>
      <c r="F18" s="29">
        <v>3600</v>
      </c>
      <c r="G18" s="18"/>
    </row>
    <row r="19" spans="1:11" ht="19.5" customHeight="1" x14ac:dyDescent="0.35">
      <c r="A19" s="17"/>
      <c r="B19" s="22" t="s">
        <v>13</v>
      </c>
      <c r="C19" s="29">
        <f>+'Employee data'!D23</f>
        <v>6000</v>
      </c>
      <c r="D19" s="69"/>
      <c r="E19" s="69"/>
      <c r="F19" s="29"/>
      <c r="G19" s="18"/>
    </row>
    <row r="20" spans="1:11" ht="19.5" customHeight="1" x14ac:dyDescent="0.35">
      <c r="A20" s="17"/>
      <c r="B20" s="22" t="s">
        <v>40</v>
      </c>
      <c r="C20" s="29">
        <v>120000</v>
      </c>
      <c r="D20" s="45"/>
      <c r="E20" s="45"/>
      <c r="F20" s="29"/>
      <c r="G20" s="18"/>
    </row>
    <row r="21" spans="1:11" ht="18" customHeight="1" x14ac:dyDescent="0.35">
      <c r="A21" s="30"/>
      <c r="B21" s="31" t="s">
        <v>15</v>
      </c>
      <c r="C21" s="32">
        <f>SUM(C14:C20)</f>
        <v>220000</v>
      </c>
      <c r="D21" s="70" t="s">
        <v>16</v>
      </c>
      <c r="E21" s="70"/>
      <c r="F21" s="32">
        <f>SUM(F14:F19)</f>
        <v>3792</v>
      </c>
      <c r="G21" s="33"/>
    </row>
    <row r="22" spans="1:11" x14ac:dyDescent="0.35">
      <c r="A22" s="17"/>
      <c r="B22" s="34"/>
      <c r="C22" s="35"/>
      <c r="D22" s="71"/>
      <c r="E22" s="71"/>
      <c r="F22" s="34"/>
      <c r="G22" s="18"/>
    </row>
    <row r="23" spans="1:11" x14ac:dyDescent="0.35">
      <c r="A23" s="17"/>
      <c r="B23" s="36" t="s">
        <v>17</v>
      </c>
      <c r="C23" s="37"/>
      <c r="D23" s="38"/>
      <c r="E23" s="37"/>
      <c r="F23" s="44">
        <f>+C21-F21+1-1</f>
        <v>216208</v>
      </c>
      <c r="G23" s="18"/>
    </row>
    <row r="24" spans="1:11" x14ac:dyDescent="0.35">
      <c r="A24" s="17"/>
      <c r="B24" s="34"/>
      <c r="C24" s="35"/>
      <c r="D24" s="34"/>
      <c r="E24" s="35"/>
      <c r="F24" s="34"/>
      <c r="G24" s="18"/>
    </row>
    <row r="25" spans="1:11" x14ac:dyDescent="0.35">
      <c r="A25" s="17"/>
      <c r="C25" s="35"/>
      <c r="D25" s="34"/>
      <c r="E25" s="35"/>
      <c r="F25" s="34"/>
      <c r="G25" s="18"/>
      <c r="K25" s="28"/>
    </row>
    <row r="26" spans="1:11" x14ac:dyDescent="0.35">
      <c r="A26" s="17"/>
      <c r="B26" s="64" t="s">
        <v>36</v>
      </c>
      <c r="C26" s="64"/>
      <c r="D26" s="64"/>
      <c r="E26" s="64"/>
      <c r="F26" s="34"/>
      <c r="G26" s="18"/>
    </row>
    <row r="27" spans="1:11" ht="14.5" thickBot="1" x14ac:dyDescent="0.4">
      <c r="A27" s="39"/>
      <c r="B27" s="40"/>
      <c r="C27" s="41"/>
      <c r="D27" s="40"/>
      <c r="E27" s="41"/>
      <c r="F27" s="40"/>
      <c r="G27" s="42"/>
    </row>
  </sheetData>
  <mergeCells count="21">
    <mergeCell ref="B26:E26"/>
    <mergeCell ref="B13:C13"/>
    <mergeCell ref="D13:F13"/>
    <mergeCell ref="D14:E14"/>
    <mergeCell ref="D15:E15"/>
    <mergeCell ref="D16:E16"/>
    <mergeCell ref="D21:E21"/>
    <mergeCell ref="D22:E22"/>
    <mergeCell ref="D17:E17"/>
    <mergeCell ref="D18:E18"/>
    <mergeCell ref="D19:E19"/>
    <mergeCell ref="E11:F11"/>
    <mergeCell ref="B2:F2"/>
    <mergeCell ref="B3:F3"/>
    <mergeCell ref="B5:F5"/>
    <mergeCell ref="E6:F6"/>
    <mergeCell ref="E8:F8"/>
    <mergeCell ref="E9:F9"/>
    <mergeCell ref="E10:F10"/>
    <mergeCell ref="E7:F7"/>
    <mergeCell ref="B4:F4"/>
  </mergeCells>
  <hyperlinks>
    <hyperlink ref="B4" r:id="rId1" display="www.fctecnrgy.com" xr:uid="{A447DB02-CB46-42B1-B365-AF66B28795F7}"/>
  </hyperlinks>
  <pageMargins left="0.70866141732283472" right="0.70866141732283472" top="0.74803149606299213" bottom="0.74803149606299213" header="0.31496062992125984" footer="0.31496062992125984"/>
  <pageSetup scale="81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Salary 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2026-02-06T06:09:10Z</dcterms:modified>
</cp:coreProperties>
</file>